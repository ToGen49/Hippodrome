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s\Desktop\"/>
    </mc:Choice>
  </mc:AlternateContent>
  <xr:revisionPtr revIDLastSave="0" documentId="13_ncr:1_{91EC9799-CBF5-4374-B75F-113B809E51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_28_01" sheetId="4" r:id="rId1"/>
    <sheet name="Feuil1" sheetId="1" r:id="rId2"/>
    <sheet name="Feuil2" sheetId="2" r:id="rId3"/>
    <sheet name="Feuil3" sheetId="3" r:id="rId4"/>
  </sheets>
  <externalReferences>
    <externalReference r:id="rId5"/>
  </externalReferences>
  <definedNames>
    <definedName name="A4_TECHNOLOGIE__par_fax___01_64_46_31_19" localSheetId="0">'04_28_01'!#REF!</definedName>
    <definedName name="adresses" localSheetId="0">'04_28_01'!#REF!</definedName>
    <definedName name="adresses">'[1]1'!#REF!</definedName>
    <definedName name="compte" localSheetId="0">'04_28_01'!$O$7:$O$16</definedName>
    <definedName name="compte">'[1]1'!$O$7:$O$15</definedName>
    <definedName name="entité" localSheetId="0">'04_28_01'!$N$4:$N$8</definedName>
    <definedName name="entité">'[1]1'!$N$4:$N$5</definedName>
    <definedName name="entreprises" localSheetId="0">'04_28_01'!$N$9:$N$165</definedName>
    <definedName name="entreprises">'[1]1'!$N$6:$N$118</definedName>
    <definedName name="four" localSheetId="0">'04_28_01'!$P$6:$P$77</definedName>
    <definedName name="fournisseurs" localSheetId="0">'04_28_01'!$P$6:$P$77</definedName>
    <definedName name="noms" localSheetId="0">'04_28_01'!$N$9:$N$165</definedName>
    <definedName name="_xlnm.Print_Area" localSheetId="0">'04_28_01'!$A$1:$L$100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8" i="4" l="1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20" i="4"/>
  <c r="D88" i="4" l="1"/>
  <c r="K89" i="4" s="1"/>
  <c r="K88" i="4" l="1"/>
  <c r="K92" i="4" s="1"/>
</calcChain>
</file>

<file path=xl/sharedStrings.xml><?xml version="1.0" encoding="utf-8"?>
<sst xmlns="http://schemas.openxmlformats.org/spreadsheetml/2006/main" count="406" uniqueCount="349">
  <si>
    <t>BON DE COMMANDE N°</t>
  </si>
  <si>
    <t>LP</t>
  </si>
  <si>
    <t>OGEC SAINT AUBIN LA SALLE</t>
  </si>
  <si>
    <t>Lycée Général - Technologique et Professionnel</t>
  </si>
  <si>
    <t>1001 PILES (directement magasin)</t>
  </si>
  <si>
    <t>Rue Hélène Boucher</t>
  </si>
  <si>
    <t>LP - 606832 (pédagogique)</t>
  </si>
  <si>
    <t>Tél : 02 41 33 43 00</t>
  </si>
  <si>
    <t>Fax : 02 41 33 45 01</t>
  </si>
  <si>
    <t>LP - Immobilisations</t>
  </si>
  <si>
    <t>Nom demandeur :</t>
  </si>
  <si>
    <t>Téléphone :</t>
  </si>
  <si>
    <t>Fax :</t>
  </si>
  <si>
    <t>LGT - Investissements Région</t>
  </si>
  <si>
    <t xml:space="preserve">Secteur concerné : </t>
  </si>
  <si>
    <t>LGT - Immobilisations</t>
  </si>
  <si>
    <t>Niveau concerné :</t>
  </si>
  <si>
    <t>Compte :</t>
  </si>
  <si>
    <t>REFERENCE</t>
  </si>
  <si>
    <t>DESIGNATION</t>
  </si>
  <si>
    <t>PU HT</t>
  </si>
  <si>
    <t>Code TVA</t>
  </si>
  <si>
    <t>MONTANT</t>
  </si>
  <si>
    <t>COM CONSEIL INGENIERIE (par mail)</t>
  </si>
  <si>
    <t>MONTANT HORS TAXES</t>
  </si>
  <si>
    <t>Taux TVA</t>
  </si>
  <si>
    <t>Montant TVA</t>
  </si>
  <si>
    <t>TOTAL POUR LA PAGE :</t>
  </si>
  <si>
    <t>Total H.T. :</t>
  </si>
  <si>
    <t>Total T.V.A. :</t>
  </si>
  <si>
    <t>code 1</t>
  </si>
  <si>
    <t>code 2</t>
  </si>
  <si>
    <t>code 3</t>
  </si>
  <si>
    <t xml:space="preserve">A Saint Sylvain d'Anjou,  le </t>
  </si>
  <si>
    <t>TOTAL T.T.C. :</t>
  </si>
  <si>
    <t xml:space="preserve">Facturation : </t>
  </si>
  <si>
    <t>OGEC ST AUBIN LA SALLE - Comptabilité Fournisseurs</t>
  </si>
  <si>
    <t>Signataire :</t>
  </si>
  <si>
    <t>Rappeler le n° de Bon de Commande</t>
  </si>
  <si>
    <t>L'Ordonnateur,</t>
  </si>
  <si>
    <t>Livraison :</t>
  </si>
  <si>
    <t>OGEC ST AUBIN LA SALLE - Parc la Baronnerie</t>
  </si>
  <si>
    <t>LIGNES 3D (par mail)</t>
  </si>
  <si>
    <t xml:space="preserve">Rue Hélène Boucher - ST SYLVAIN D'ANJOU - 49481 VERRIERES EN ANJOU </t>
  </si>
  <si>
    <t>ST SYLVAIN D'ANJOU</t>
  </si>
  <si>
    <t>49481 VERRIERES EN ANJOU</t>
  </si>
  <si>
    <t>DA :…………………..</t>
  </si>
  <si>
    <t>L : ……………………………...….</t>
  </si>
  <si>
    <t>LABODIFF (par mail)</t>
  </si>
  <si>
    <t xml:space="preserve">Directeur Technique </t>
  </si>
  <si>
    <t>année</t>
  </si>
  <si>
    <t>/ 20 - 21 /</t>
  </si>
  <si>
    <t>Informatique</t>
  </si>
  <si>
    <t>LGT</t>
  </si>
  <si>
    <t>INFORM</t>
  </si>
  <si>
    <t>INT</t>
  </si>
  <si>
    <t>ATLANTIQUE COMPOSANTS (angers@atlantique-composants.fr)</t>
  </si>
  <si>
    <t>AXE ALLIANCE ELECTRONIQUE (pfeuillet@axalliance.com)</t>
  </si>
  <si>
    <t>BATIDOC (batidoc.angers@cdenegoce.com)</t>
  </si>
  <si>
    <t>CENTRAL MEDIA (commercial@centralmedia.fr)</t>
  </si>
  <si>
    <t>CGE DISTRIBUTION (angers.cged@sonepar.fr)</t>
  </si>
  <si>
    <t>EDALIS SAS (sebastien.hamoniaux@edalis.net) ou (edalis@wanadoo.fr)</t>
  </si>
  <si>
    <t>ELECDIFPRO / HOLDELEC (contact@holdelec.fr)</t>
  </si>
  <si>
    <t>ELECTRONIC LOISIRS ANGERS SONO (contact@electronicloisirs.fr)</t>
  </si>
  <si>
    <t>ELIAN SAS (safia.meksoub@aschulman.com)</t>
  </si>
  <si>
    <t>KEYSIGHT TECHNOLOGIES France (contactcenter_france@keysight.com)</t>
  </si>
  <si>
    <t>MANUTAN COLLECTIVITES (avotreservice@manutan-collectivites.fr)</t>
  </si>
  <si>
    <t>MORGAN VIEW COMMUNICATION (contact@morganview.fr)</t>
  </si>
  <si>
    <t>NEGRI BOSSI France (jgarnier@negribossi.com)</t>
  </si>
  <si>
    <t>PENTASONIC (fabien.tricot@pentasonic.net)</t>
  </si>
  <si>
    <t>RS COMPONENTS - Radiospares (services.clients@rs-components.com)</t>
  </si>
  <si>
    <t>Schenker Joyau Transports (michel.benoist@dbschenker.com)</t>
  </si>
  <si>
    <t>SCHNEIDER ELECTRIC (xavier2.godoc@se.com)</t>
  </si>
  <si>
    <t>SONEPAR SUD OUEST SAS (Ex CSO) (cso.angers@sonepar.fr) (damien.latapie@sonepar.fr)</t>
  </si>
  <si>
    <t>SUPER U - Les Banchais (super.saintbarthelemybanchais.administratif@systeme-u.fr)</t>
  </si>
  <si>
    <t>TECHNOLOGIE SERVICES (contact@technologieservices.fr)</t>
  </si>
  <si>
    <t>VISIATIV (ex CADWARE) (arnaud.calleri@visiativ.com)</t>
  </si>
  <si>
    <t>3SIGMA (info@3sigma.fr)</t>
  </si>
  <si>
    <t>A4 TECHNOLOGIE (techno@a4.fr)</t>
  </si>
  <si>
    <t>ADAPTOO (contact@adaptoo.com)</t>
  </si>
  <si>
    <t>ALL BATTERIES (serviceclient@all-batteries.fr)</t>
  </si>
  <si>
    <t>ARBIOTECH (lcs@arbiotech.com)</t>
  </si>
  <si>
    <t>ARBURG (sav@arburg.com)</t>
  </si>
  <si>
    <t>BIESTERFELD (s.poisat@biesterfeld.com)</t>
  </si>
  <si>
    <t>BMS (info@bmsfrance.eu)</t>
  </si>
  <si>
    <t>CIREA (damien.tricoire@gepcb.com)</t>
  </si>
  <si>
    <t>CMIC (jean-luc.guerin@alucmic.com)</t>
  </si>
  <si>
    <t>CONRAD ENTREPRISES (contact@conrad-france.fr) ou (commandepro@conradfrance.fr)</t>
  </si>
  <si>
    <t>CSO (cso.angers@sonepar.fr)</t>
  </si>
  <si>
    <t>DAE DEFFIBRILLATEUR (contact@dae-defibrillateur.com)</t>
  </si>
  <si>
    <t>DEC INDUSTRIE (infos@dec-industrie.com)</t>
  </si>
  <si>
    <t>DIDASTEL (info@didastel.fr)</t>
  </si>
  <si>
    <t>DIPLATECH (plastique@diplatech.com)</t>
  </si>
  <si>
    <t>DISTRAME (infos@distrame.fr)</t>
  </si>
  <si>
    <t>ELEC SYSTEM (elecsystem-angers@etn.fr)</t>
  </si>
  <si>
    <t>ERE (ere.commercial@orange.fr)</t>
  </si>
  <si>
    <t>FANUC (parts@fanuc.fr)</t>
  </si>
  <si>
    <t>FARNELL (ventes@farnell.com)</t>
  </si>
  <si>
    <t>FASTNET - Resadia (fastnet@fastnet.fr)</t>
  </si>
  <si>
    <t>FIREP (contact@firep.fr)</t>
  </si>
  <si>
    <t>GO TRONIC (contact@gotronic.fr)</t>
  </si>
  <si>
    <t>HESTIA (commande@sedea.fr)
(squenel@hestia-france.com)</t>
  </si>
  <si>
    <t>HEULIN ROUSSEAU (mgohier@prolians.eu)</t>
  </si>
  <si>
    <t>HPC Engrenages (cial2@hpceurope.com)</t>
  </si>
  <si>
    <t>IGOL (service.clients@igol.com)</t>
  </si>
  <si>
    <t>IGUS (commande@igus.fr)</t>
  </si>
  <si>
    <t>ILLICO RESEAU (commande@illico-reseau.com)</t>
  </si>
  <si>
    <t>INMAC WSTORE - MISCO (shutin@misco.fr)</t>
  </si>
  <si>
    <t>JEULIN (contact@jeulin.fr) ou (csimon@jeulin.fr)</t>
  </si>
  <si>
    <t>LANGLOIS (info@langlois-France.com)</t>
  </si>
  <si>
    <t>LEXTRONIC (lextronic@lextronic.fr)</t>
  </si>
  <si>
    <t>LYPSIS (fi.nantes@lypsis.fr)
(admin.ecommerce@lypsis.fr)</t>
  </si>
  <si>
    <t>LOGOSAPIENCE (gestion@logosapience.fr)</t>
  </si>
  <si>
    <t>MARTIN RONDEAU (aciers-angers@prolians.eu)</t>
  </si>
  <si>
    <t>MULTIPOWER (contact@multipower.fr)</t>
  </si>
  <si>
    <t>NUBLAT (laboratoire-nublat@wanadoo.fr)</t>
  </si>
  <si>
    <t>OTELO (commercial@otelo.fr)</t>
  </si>
  <si>
    <t>OXERAD (nantes@oxerad.com)</t>
  </si>
  <si>
    <t>PL SYSTEMS (commandes@pl-systems.fr)</t>
  </si>
  <si>
    <t>POLYDIS (secretariat@polydis.fr)</t>
  </si>
  <si>
    <t>PROFIRST (julie.demlog@orange.fr)</t>
  </si>
  <si>
    <t>RAMI AMIX (amix@amixaudio.com)</t>
  </si>
  <si>
    <t>REFORM RM (reform.ravet@gmail.com)</t>
  </si>
  <si>
    <t>REXEL (angers@rexel.fr)</t>
  </si>
  <si>
    <t>SADEL - SAVOIRS PLUS (cecile.lefevre@savoirsplus.fr)</t>
  </si>
  <si>
    <t>SATECH (magasin@satech.fr)</t>
  </si>
  <si>
    <t>SERVILAB (commande@servilab.fr)</t>
  </si>
  <si>
    <t>S.I.S.E. (tlaveix@sise-plastics.com)</t>
  </si>
  <si>
    <t>SNDMO (sndmo@sndmo.com)</t>
  </si>
  <si>
    <t>SNETOR DISTRIBUTION (accueil@snetor.fr)</t>
  </si>
  <si>
    <t>SONODIS (renseignement@sonodis.fr)</t>
  </si>
  <si>
    <t>SORDALAB (commande49@sordalab.com)</t>
  </si>
  <si>
    <t>SOUFFLET SARL (commercial@soufflet-sarl.fr)</t>
  </si>
  <si>
    <t>STAUBLI (l.desormeaux@staubli.com)</t>
  </si>
  <si>
    <t xml:space="preserve">AMAZON </t>
  </si>
  <si>
    <t>AMC Technologies</t>
  </si>
  <si>
    <t>ANIMALERIE BOUTIQUE</t>
  </si>
  <si>
    <t>CDISCOUNT</t>
  </si>
  <si>
    <t>CD FOLIE.COM</t>
  </si>
  <si>
    <t xml:space="preserve">CONATEX.FR </t>
  </si>
  <si>
    <t>DECATHLON</t>
  </si>
  <si>
    <t>DISTRIMED</t>
  </si>
  <si>
    <t>DOMADOO</t>
  </si>
  <si>
    <t>EBAY</t>
  </si>
  <si>
    <t>EURO CIRCUITS</t>
  </si>
  <si>
    <t>EWEE.FR</t>
  </si>
  <si>
    <t>FAAC SERVICES</t>
  </si>
  <si>
    <t>FLASHRC.COM</t>
  </si>
  <si>
    <t>GCE ELECTRONICS</t>
  </si>
  <si>
    <t>HOBBISTAR</t>
  </si>
  <si>
    <t>HORLOGE BOIS.FR</t>
  </si>
  <si>
    <t>KUBII.FR</t>
  </si>
  <si>
    <t>LA BOUTIQUE DE DOMOTIQUE.COM</t>
  </si>
  <si>
    <t>LA MAISON ELECTRIQUE</t>
  </si>
  <si>
    <t>LBC CONCEPT</t>
  </si>
  <si>
    <t>LDLC.COM</t>
  </si>
  <si>
    <t>LUXEUM</t>
  </si>
  <si>
    <t>MAISON BLEUET</t>
  </si>
  <si>
    <t>MAKER SHOP 3D</t>
  </si>
  <si>
    <t>MASTER OUTILLAGE</t>
  </si>
  <si>
    <t>MATERIEL.NET</t>
  </si>
  <si>
    <t>MECA-LINE.COM</t>
  </si>
  <si>
    <t>MININEON</t>
  </si>
  <si>
    <t>MININTHEBOX.COM</t>
  </si>
  <si>
    <t>MISS NUMERIQUE</t>
  </si>
  <si>
    <t>MISTER CHRONO.COM</t>
  </si>
  <si>
    <t>MY DOMOTIQUE</t>
  </si>
  <si>
    <t>OUTILLAGE INDUSTRIE</t>
  </si>
  <si>
    <t>PARALLAX.COM</t>
  </si>
  <si>
    <t>PLANETE DOMOTIQUE</t>
  </si>
  <si>
    <t>PLASTIQUESURMESURE.COM</t>
  </si>
  <si>
    <t>POP INFORMATIQUE.COM</t>
  </si>
  <si>
    <t>RC DIFFUSION.COM</t>
  </si>
  <si>
    <t>RPG MAKER</t>
  </si>
  <si>
    <t>SERVEUR OCCASION.COM</t>
  </si>
  <si>
    <t>SOLAIRE SHOP</t>
  </si>
  <si>
    <t>SUBLET.FR</t>
  </si>
  <si>
    <t>TECNI MODEL</t>
  </si>
  <si>
    <t>TEL2PRO</t>
  </si>
  <si>
    <t>THOMANN</t>
  </si>
  <si>
    <t>TME</t>
  </si>
  <si>
    <t>URBAN FACTORY WEB
(par internet) envoi chèque à adresse Paris</t>
  </si>
  <si>
    <t>VENTOUSES-SOUFFLETS.COM</t>
  </si>
  <si>
    <t>VN-EQUIPEMENT</t>
  </si>
  <si>
    <t>WIPLE France</t>
  </si>
  <si>
    <t>YADOM - ZEN TECHNOLOGY</t>
  </si>
  <si>
    <t>YOCTOPUCE</t>
  </si>
  <si>
    <t>123 ROULEMENT.COM</t>
  </si>
  <si>
    <t xml:space="preserve">HACK SPARK (par internet) paiement chèque chez JMS INFORMATIQUE </t>
  </si>
  <si>
    <t>KAMATEC (par internet - paiement par chèque possible)</t>
  </si>
  <si>
    <t>LE CYCLO.COM  (par internet - paiement chèque)</t>
  </si>
  <si>
    <t>MOTEDIS.FR
(par internet - paiement par facture)</t>
  </si>
  <si>
    <t>ROBOT SHOP.COM
(par internet - virement possible)</t>
  </si>
  <si>
    <r>
      <t>LP - 606180</t>
    </r>
    <r>
      <rPr>
        <sz val="7"/>
        <color rgb="FF00B050"/>
        <rFont val="Calibri"/>
        <family val="2"/>
        <scheme val="minor"/>
      </rPr>
      <t xml:space="preserve"> (gaz)</t>
    </r>
  </si>
  <si>
    <r>
      <t>LP - 606894</t>
    </r>
    <r>
      <rPr>
        <sz val="7"/>
        <color rgb="FF00B050"/>
        <rFont val="Calibri"/>
        <family val="2"/>
        <scheme val="minor"/>
      </rPr>
      <t xml:space="preserve"> (outillage élèves)</t>
    </r>
  </si>
  <si>
    <r>
      <t>LP - 623100-300</t>
    </r>
    <r>
      <rPr>
        <sz val="7"/>
        <color rgb="FF00B050"/>
        <rFont val="Calibri"/>
        <family val="2"/>
        <scheme val="minor"/>
      </rPr>
      <t xml:space="preserve"> (communication)</t>
    </r>
  </si>
  <si>
    <r>
      <t xml:space="preserve">LP - 2-……. </t>
    </r>
    <r>
      <rPr>
        <sz val="7"/>
        <color rgb="FF00B050"/>
        <rFont val="Calibri"/>
        <family val="2"/>
        <scheme val="minor"/>
      </rPr>
      <t xml:space="preserve"> (informatique)</t>
    </r>
  </si>
  <si>
    <r>
      <t>LGT - 606844</t>
    </r>
    <r>
      <rPr>
        <sz val="7"/>
        <color rgb="FF00B050"/>
        <rFont val="Calibri"/>
        <family val="2"/>
        <scheme val="minor"/>
      </rPr>
      <t xml:space="preserve"> (Multisecteurs Chef Travaux LGT)</t>
    </r>
  </si>
  <si>
    <t>DESTINATAIRE (QUANTITE)</t>
  </si>
  <si>
    <t>QUANTITE TOTAL</t>
  </si>
  <si>
    <t>FQP27P06</t>
  </si>
  <si>
    <t>Anass(4)</t>
  </si>
  <si>
    <t>MOSFET 60V P-Channel QFET</t>
  </si>
  <si>
    <t>TL783CKCSE3</t>
  </si>
  <si>
    <t>Anass(2)</t>
  </si>
  <si>
    <t>Régulateurs de tension linéaires 3 Terminal 700mA Hi VltgAdj+VltgRegulatr</t>
  </si>
  <si>
    <t>855-M7582-46</t>
  </si>
  <si>
    <t>Thomas(3)Anass(1)</t>
  </si>
  <si>
    <t>Jumper (Shunt)</t>
  </si>
  <si>
    <t>LM317AT/NOPB</t>
  </si>
  <si>
    <t>Régulateurs de tension linéaires 3-TERMINAL ADJ REG</t>
  </si>
  <si>
    <t>1N5408</t>
  </si>
  <si>
    <t>Anass(1)</t>
  </si>
  <si>
    <t>Redresseurs Diode, DO-201, 1000V, 3A</t>
  </si>
  <si>
    <t>IRLZ44NPBF</t>
  </si>
  <si>
    <t>MOSFET MOSFT 55V 47A 22mOhm 32nC LogLvlAB</t>
  </si>
  <si>
    <t>579-MCP6002T-I/SN</t>
  </si>
  <si>
    <t>Thomas(1)</t>
  </si>
  <si>
    <t>Op Amps Dual 1.8V 1MHz</t>
  </si>
  <si>
    <t>392-101918</t>
  </si>
  <si>
    <t>CH340C</t>
  </si>
  <si>
    <t>595-SN74LVC1G08DBVR</t>
  </si>
  <si>
    <t>Logic Gates Single 2 Input</t>
  </si>
  <si>
    <t>523-12401899E412A</t>
  </si>
  <si>
    <t>Connectors USB Type C RCPT SMT</t>
  </si>
  <si>
    <t>595-TMUX1574PWR</t>
  </si>
  <si>
    <t>Analogue Switch ICs 5-V</t>
  </si>
  <si>
    <t>630-HSMH-H191</t>
  </si>
  <si>
    <t>Thomas(3) Anass(1)</t>
  </si>
  <si>
    <t>LEDs 0603</t>
  </si>
  <si>
    <t>80-C0603C104K3R7867</t>
  </si>
  <si>
    <t>Thomas(12)</t>
  </si>
  <si>
    <t>Ceramic Capacitors MLCC - SMD/SMT 25V 0.1uF X7R 0603 10%</t>
  </si>
  <si>
    <t>179-TS026643BK160LCR</t>
  </si>
  <si>
    <t>Thomas(5)</t>
  </si>
  <si>
    <t>Tactile Switches 6 x 6 mm, 4.3 mm Act Height, 160 gf, Black, Long Crimped, Through Hole, SPST,</t>
  </si>
  <si>
    <t>187-CL10A106KQ8NNNC</t>
  </si>
  <si>
    <t>Thomas(2)</t>
  </si>
  <si>
    <t>Multilayer Ceramic Capacitors MLCC - SMD/SMT 10uF+/-10% 6.3V X5R 0603</t>
  </si>
  <si>
    <t>80-C0603X330M1HACTU</t>
  </si>
  <si>
    <t>Multilayer Ceramic Capacitors MLCC - SMD/SMT 100V 33pF 0603 X8R 20%</t>
  </si>
  <si>
    <t>187-CL10A475KQ8NNND</t>
  </si>
  <si>
    <t>Multilayer Ceramic Capacitors MLCC - SMD/SMT 4.7uF+/-10% 6.3V X5R 0603</t>
  </si>
  <si>
    <t>187-CL10A226MP8NUNE</t>
  </si>
  <si>
    <t>Multilayer Ceramic Capacitors MLCC - SMD/SMT 22uF+/-20% 10V X5R 1 0603</t>
  </si>
  <si>
    <t>187-CL10C820JB81PNC</t>
  </si>
  <si>
    <t>Multilayer Ceramic Capacitors MLCC - SMD/SMT 82pF+/-5% 50V C0G 16 0603</t>
  </si>
  <si>
    <t>660-RK73Z1JTTDD</t>
  </si>
  <si>
    <t>Thomas(4)</t>
  </si>
  <si>
    <t>Thick Film Resistors - SMD ZEROohms JUMPER</t>
  </si>
  <si>
    <t>603-AC0603FR-7W20KL</t>
  </si>
  <si>
    <t>Thick Film Resistors - SMD 20kOhms 1/10W 0603 1 % AEC-Q200 Double Power Version</t>
  </si>
  <si>
    <t>356-ESP32MINI-2-N4</t>
  </si>
  <si>
    <t>WiFi Modules - 802.11 SMD module, ESP32-S2FH4 ECO1 with 4 MB flash die inside, PCB antenna</t>
  </si>
  <si>
    <t>771-NX3DV2567HR115</t>
  </si>
  <si>
    <t>Analogue Switch ICs Low-ohmic four-pole analog switch</t>
  </si>
  <si>
    <t>581-P822601</t>
  </si>
  <si>
    <t>Antennas Broadband 5G/LTE/LPW A PCB</t>
  </si>
  <si>
    <t>187-CL10A105KP8NNNL</t>
  </si>
  <si>
    <t>Multilayer Ceramic Capacitors MLCC - SMD/SMT 1uF+/-10% 10V X5R 16 0603</t>
  </si>
  <si>
    <t>712-ANT-GNCPTH258L15</t>
  </si>
  <si>
    <t>Antennas Antenna GNSS L1L5 25x25 1.13 UFL</t>
  </si>
  <si>
    <t>511-LD1117S18CTR</t>
  </si>
  <si>
    <t>LDO Voltage Regulators Low drop fixed/adj positive voltage reg</t>
  </si>
  <si>
    <t>81-GJM1555C1H3R5CB1D</t>
  </si>
  <si>
    <t>Multilayer Ceramic Capacitors MLCC - SMD/SMT 3.5 pF 50 VDC 0.25 pF 0402 C0G (NP0)</t>
  </si>
  <si>
    <t>810-MLG1005S1N5ST000</t>
  </si>
  <si>
    <t>RF Inductors - SMD IND 0402 1.5nH StdQ SMD RF IND</t>
  </si>
  <si>
    <t>710-7447840122</t>
  </si>
  <si>
    <t>RF Inductors - SMD WE-MK 0402 22nH 300mA DCR=0.58mOhm</t>
  </si>
  <si>
    <t>274-3AB</t>
  </si>
  <si>
    <t>Dissipateurs Wave-Solderable Heat Sink, TO220, 13.2x19.1x6.4mm, Vertical/Horizontal, No Tab</t>
  </si>
  <si>
    <t>C0603C105Z9VACTU</t>
  </si>
  <si>
    <t>Condensateurs céramique multicouches MLCC - CMS 6.3V 1uF Y5V 0603 -20%,+80%</t>
  </si>
  <si>
    <t>C0603C104K3RECTU</t>
  </si>
  <si>
    <t>Anass(6)</t>
  </si>
  <si>
    <t>Condensateurs céramique multicouches MLCC - CMS 25V 0.1uF X7R 0603 10%</t>
  </si>
  <si>
    <t>RC0603FR-07240RL</t>
  </si>
  <si>
    <t>Anass(3)</t>
  </si>
  <si>
    <t>Résistances à couches épaisses - CMS 240 Ohms 100mW 0603 1%
Résistances à couches épaisses - CMS 240 Ohms 100mW 0603 1%
Résistances à couches épaisses - CMS 240 Ohms 100mW 0603 1%</t>
  </si>
  <si>
    <t xml:space="preserve">
RC0603FR-07390RL</t>
  </si>
  <si>
    <t>Résistances à couches épaisses - CMS 390 Ohms 100mW 0603 1%</t>
  </si>
  <si>
    <t>RC0603FR-071KL</t>
  </si>
  <si>
    <t>Résistances à couches épaisses - CMS 1 kOhms 100mW 0603 1%</t>
  </si>
  <si>
    <t>RC0603FR-072K87L</t>
  </si>
  <si>
    <t>Résistances à couches épaisses - CMS 2.87 kOhms 100 mW 06 03 1%</t>
  </si>
  <si>
    <t xml:space="preserve">
RC0603FR-07715RL</t>
  </si>
  <si>
    <t>Résistances à couches épaisses - CMS 715 Ohms 100mW 0603 1%</t>
  </si>
  <si>
    <t>2059-302/998-403</t>
  </si>
  <si>
    <t>WAGO SMD</t>
  </si>
  <si>
    <t>74HCT08PW,118</t>
  </si>
  <si>
    <t>Porte Logique ET, 2 entrées, 4 Portes, 4.5V à 5.5V, TSSOP-14</t>
  </si>
  <si>
    <t>S2B-XH-A (LF)(SN)</t>
  </si>
  <si>
    <t>Thomas(2), Anass(2)</t>
  </si>
  <si>
    <t>Connecteur embase Trou traversant, angle droit 2 positions 0,098po (2,50mm)</t>
  </si>
  <si>
    <t>FSA2466UMX</t>
  </si>
  <si>
    <t>IC SWITCH</t>
  </si>
  <si>
    <t>JS202011CQN</t>
  </si>
  <si>
    <t>SWITCH SLIDE DPDT</t>
  </si>
  <si>
    <t>CPF0603B120RE1</t>
  </si>
  <si>
    <t>Thomas(3)</t>
  </si>
  <si>
    <t>RES SMD 120 OHM 1% 1/10W 0603</t>
  </si>
  <si>
    <t>RP73PF1J10KBTDF</t>
  </si>
  <si>
    <t>Thomas(6)</t>
  </si>
  <si>
    <t>RES 10K OHM 1% 1/10W 0603</t>
  </si>
  <si>
    <t>CPF0603B5K1E1</t>
  </si>
  <si>
    <t>Thomas(7)</t>
  </si>
  <si>
    <t>RES 5.1K OHM 1% 1/10W 0603</t>
  </si>
  <si>
    <t>CPF0603B680RE1</t>
  </si>
  <si>
    <t>RES 680 OHM 5% 1/10W 0603</t>
  </si>
  <si>
    <t>SN74AC00DR</t>
  </si>
  <si>
    <t>Porte NON-ET, 74AC00, 2 entrées, 24 mA, 2 V à 6 V, SOIC-14</t>
  </si>
  <si>
    <t>S3B-XH-A (LF)(SN)</t>
  </si>
  <si>
    <t>Thomas(1) Anass(3)</t>
  </si>
  <si>
    <t>Header mâle, Angle Droit, Fil à carte, 2.5 mm, 1 Rangée(s), 3 Contact(s), Traversant à angle droit</t>
  </si>
  <si>
    <t>Bornier fil-à-carte, 5 mm, 2 Voies, 24 AWG, 12 AWG, 2.5 mm², Par vis</t>
  </si>
  <si>
    <t>KTR18EZPF1101</t>
  </si>
  <si>
    <t>Résistance à puce CMS, 1.1 kohm, ± 1%, 250 mW, 1206 [3216 Metric], Couche épaisse, Haute tension</t>
  </si>
  <si>
    <t>CPF0603B1K0E1..</t>
  </si>
  <si>
    <t>RES 1K OHM 1% 1/10W 0603</t>
  </si>
  <si>
    <t>USBLC6-2SC6</t>
  </si>
  <si>
    <t>TVS DIODE 5.25VWM 17VC SOT23-6</t>
  </si>
  <si>
    <t>SK 104 25,4 LS</t>
  </si>
  <si>
    <t>Dissipateur thermique, TO-220, 14 °C/W, SOT-32, TO-3P, TO-220, 34.9 mm, 12.7 mm, 25.4 mm</t>
  </si>
  <si>
    <t>1NH L0603</t>
  </si>
  <si>
    <t>S5B-XH-A (LF)(SN)</t>
  </si>
  <si>
    <t>Connecteur embase Trou traversant, angle droit 5 positions 0,098po (2,50mm)</t>
  </si>
  <si>
    <t>BYG22B-E3/TR</t>
  </si>
  <si>
    <t>Diode 100 V 2A Montage en surface DO-214AC (SMA)</t>
  </si>
  <si>
    <t>2N7002AQ-13</t>
  </si>
  <si>
    <t>Canal N 60 V 180mA (Ta) 370mW (Ta) Montage en surface SOT-23-3</t>
  </si>
  <si>
    <t>BGTXINGI 10 pcs JST XH 2/3/4/5/6 Broches avec câble FamilyMall Double Xh2.54 mm Pitch Prise de câble de 30 cm (Rose et Blanc)</t>
  </si>
  <si>
    <t>Cable JST XH2.54</t>
  </si>
  <si>
    <t>S003</t>
  </si>
  <si>
    <t>S337</t>
  </si>
  <si>
    <t>LC29HBAMD</t>
  </si>
  <si>
    <t>ICM-20948</t>
  </si>
  <si>
    <t>ST4SI2M0020TPIFW</t>
  </si>
  <si>
    <t>NRF9151-LACA-R</t>
  </si>
  <si>
    <t>SCC-Q1-06-G-SMT-T/R</t>
  </si>
  <si>
    <t>ESP32-S2-DevKitC-1-N8R2</t>
  </si>
  <si>
    <t>Thomas</t>
  </si>
  <si>
    <t>Module lte-m</t>
  </si>
  <si>
    <t>esp32-s3</t>
  </si>
  <si>
    <t>GNSS</t>
  </si>
  <si>
    <t>magnetometre</t>
  </si>
  <si>
    <t>lecteur e-sim</t>
  </si>
  <si>
    <t>connecteur sim</t>
  </si>
  <si>
    <t>esp32-s2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</si>
</sst>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#&quot; &quot;##&quot; &quot;##&quot; &quot;##&quot; &quot;##"/>
    <numFmt numFmtId="166" formatCode="#,##0.00\ &quot;€&quot;"/>
  </numFmts>
  <fonts count="3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7"/>
      <color rgb="FF00B050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Arial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</font>
    <font>
      <sz val="10"/>
      <color rgb="FF333333"/>
      <name val="Arial"/>
      <family val="2"/>
    </font>
    <font>
      <sz val="11"/>
      <color rgb="FF333333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0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0" xfId="0" applyFont="1"/>
    <xf numFmtId="0" fontId="5" fillId="0" borderId="4" xfId="0" applyFont="1" applyBorder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5" xfId="0" applyFont="1" applyBorder="1" applyAlignment="1">
      <alignment horizontal="left" indent="2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4" fontId="0" fillId="0" borderId="0" xfId="0" applyNumberFormat="1" applyAlignment="1">
      <alignment horizontal="center"/>
    </xf>
    <xf numFmtId="0" fontId="6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4" fillId="0" borderId="14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1" fontId="12" fillId="0" borderId="19" xfId="0" applyNumberFormat="1" applyFont="1" applyBorder="1" applyAlignment="1">
      <alignment horizontal="center" vertical="center"/>
    </xf>
    <xf numFmtId="10" fontId="10" fillId="7" borderId="20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10" fontId="10" fillId="7" borderId="20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0" fontId="10" fillId="7" borderId="18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0" xfId="0" applyFont="1"/>
    <xf numFmtId="0" fontId="10" fillId="0" borderId="21" xfId="0" applyFont="1" applyBorder="1"/>
    <xf numFmtId="0" fontId="18" fillId="0" borderId="17" xfId="0" applyFont="1" applyBorder="1"/>
    <xf numFmtId="0" fontId="0" fillId="0" borderId="24" xfId="0" applyBorder="1"/>
    <xf numFmtId="0" fontId="0" fillId="0" borderId="2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1" xfId="0" applyBorder="1"/>
    <xf numFmtId="0" fontId="19" fillId="0" borderId="0" xfId="0" applyFont="1"/>
    <xf numFmtId="0" fontId="20" fillId="0" borderId="0" xfId="0" applyFont="1"/>
    <xf numFmtId="166" fontId="3" fillId="0" borderId="15" xfId="0" applyNumberFormat="1" applyFont="1" applyBorder="1" applyAlignment="1">
      <alignment horizontal="left" vertical="center" indent="2"/>
    </xf>
    <xf numFmtId="0" fontId="3" fillId="0" borderId="14" xfId="0" applyFont="1" applyBorder="1"/>
    <xf numFmtId="0" fontId="5" fillId="0" borderId="19" xfId="0" applyFont="1" applyBorder="1"/>
    <xf numFmtId="0" fontId="24" fillId="0" borderId="0" xfId="0" applyFont="1"/>
    <xf numFmtId="0" fontId="25" fillId="0" borderId="0" xfId="0" applyFont="1"/>
    <xf numFmtId="0" fontId="27" fillId="0" borderId="0" xfId="0" applyFont="1" applyAlignment="1">
      <alignment wrapText="1"/>
    </xf>
    <xf numFmtId="0" fontId="27" fillId="0" borderId="0" xfId="0" applyFont="1"/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6" fontId="2" fillId="0" borderId="0" xfId="0" applyNumberFormat="1" applyFont="1" applyAlignment="1">
      <alignment horizontal="right" vertical="center"/>
    </xf>
    <xf numFmtId="0" fontId="0" fillId="0" borderId="21" xfId="0" applyBorder="1" applyAlignment="1">
      <alignment horizontal="right" vertical="center"/>
    </xf>
    <xf numFmtId="166" fontId="14" fillId="0" borderId="17" xfId="0" applyNumberFormat="1" applyFont="1" applyBorder="1"/>
    <xf numFmtId="0" fontId="0" fillId="0" borderId="22" xfId="0" applyBorder="1"/>
    <xf numFmtId="166" fontId="0" fillId="0" borderId="0" xfId="0" applyNumberFormat="1" applyAlignment="1">
      <alignment horizontal="right" vertical="center"/>
    </xf>
    <xf numFmtId="166" fontId="0" fillId="0" borderId="7" xfId="0" applyNumberForma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14" fontId="16" fillId="2" borderId="24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0" fillId="0" borderId="25" xfId="0" applyBorder="1"/>
    <xf numFmtId="166" fontId="22" fillId="8" borderId="25" xfId="0" applyNumberFormat="1" applyFont="1" applyFill="1" applyBorder="1" applyAlignment="1">
      <alignment horizontal="right" vertical="center" indent="2"/>
    </xf>
    <xf numFmtId="0" fontId="22" fillId="8" borderId="26" xfId="0" applyFont="1" applyFill="1" applyBorder="1" applyAlignment="1">
      <alignment horizontal="right" vertical="center" indent="2"/>
    </xf>
    <xf numFmtId="0" fontId="5" fillId="7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6" fontId="1" fillId="7" borderId="9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6" fontId="2" fillId="0" borderId="13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14" fillId="0" borderId="19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5" fillId="2" borderId="0" xfId="0" applyFont="1" applyFill="1"/>
    <xf numFmtId="165" fontId="5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5" fontId="11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4" xfId="0" applyFont="1" applyBorder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5" xfId="0" applyFont="1" applyBorder="1" applyAlignment="1">
      <alignment horizontal="left" indent="2"/>
    </xf>
    <xf numFmtId="164" fontId="7" fillId="5" borderId="4" xfId="0" applyNumberFormat="1" applyFont="1" applyFill="1" applyBorder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8" fillId="5" borderId="0" xfId="0" applyFont="1" applyFill="1"/>
    <xf numFmtId="0" fontId="9" fillId="5" borderId="0" xfId="0" applyFont="1" applyFill="1"/>
    <xf numFmtId="0" fontId="9" fillId="5" borderId="5" xfId="0" applyFont="1" applyFill="1" applyBorder="1"/>
    <xf numFmtId="0" fontId="5" fillId="0" borderId="0" xfId="0" applyFont="1"/>
    <xf numFmtId="0" fontId="23" fillId="6" borderId="0" xfId="0" applyFont="1" applyFill="1" applyAlignment="1">
      <alignment horizontal="center"/>
    </xf>
    <xf numFmtId="0" fontId="23" fillId="0" borderId="0" xfId="0" applyFont="1"/>
    <xf numFmtId="0" fontId="28" fillId="0" borderId="9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9" fillId="0" borderId="16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30" fillId="0" borderId="10" xfId="0" applyFont="1" applyBorder="1" applyAlignment="1">
      <alignment horizontal="left"/>
    </xf>
    <xf numFmtId="0" fontId="0" fillId="0" borderId="16" xfId="0" applyBorder="1" applyAlignment="1">
      <alignment vertical="top"/>
    </xf>
    <xf numFmtId="0" fontId="31" fillId="0" borderId="16" xfId="0" applyFont="1" applyBorder="1" applyAlignment="1">
      <alignment wrapText="1"/>
    </xf>
    <xf numFmtId="0" fontId="28" fillId="0" borderId="16" xfId="0" applyFont="1" applyBorder="1" applyAlignment="1">
      <alignment horizontal="center" vertical="top"/>
    </xf>
    <xf numFmtId="166" fontId="32" fillId="0" borderId="16" xfId="0" applyNumberFormat="1" applyFont="1" applyBorder="1" applyAlignment="1">
      <alignment vertical="top"/>
    </xf>
    <xf numFmtId="0" fontId="29" fillId="0" borderId="16" xfId="0" applyFont="1" applyBorder="1" applyAlignment="1">
      <alignment vertical="top"/>
    </xf>
    <xf numFmtId="0" fontId="13" fillId="0" borderId="10" xfId="1" applyBorder="1" applyAlignment="1" applyProtection="1">
      <alignment horizontal="left"/>
    </xf>
    <xf numFmtId="0" fontId="21" fillId="0" borderId="16" xfId="0" applyFont="1" applyBorder="1" applyAlignment="1">
      <alignment wrapText="1"/>
    </xf>
    <xf numFmtId="166" fontId="33" fillId="9" borderId="16" xfId="0" applyNumberFormat="1" applyFont="1" applyFill="1" applyBorder="1" applyAlignment="1">
      <alignment vertical="top"/>
    </xf>
    <xf numFmtId="0" fontId="28" fillId="0" borderId="16" xfId="0" applyFont="1" applyBorder="1"/>
    <xf numFmtId="166" fontId="33" fillId="0" borderId="16" xfId="0" applyNumberFormat="1" applyFont="1" applyBorder="1" applyAlignment="1">
      <alignment vertical="top"/>
    </xf>
    <xf numFmtId="0" fontId="13" fillId="0" borderId="0" xfId="1" applyAlignment="1" applyProtection="1">
      <alignment horizontal="left"/>
    </xf>
    <xf numFmtId="0" fontId="21" fillId="0" borderId="16" xfId="0" applyFont="1" applyBorder="1" applyAlignment="1">
      <alignment vertical="top"/>
    </xf>
    <xf numFmtId="0" fontId="21" fillId="0" borderId="16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28" fillId="0" borderId="16" xfId="0" applyFont="1" applyBorder="1" applyAlignment="1">
      <alignment wrapText="1"/>
    </xf>
    <xf numFmtId="0" fontId="13" fillId="0" borderId="9" xfId="1" applyBorder="1" applyAlignment="1" applyProtection="1">
      <alignment wrapText="1"/>
    </xf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33" fillId="0" borderId="16" xfId="0" applyNumberFormat="1" applyFont="1" applyBorder="1" applyAlignment="1">
      <alignment horizontal="right" vertical="center"/>
    </xf>
    <xf numFmtId="0" fontId="35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29" fillId="0" borderId="9" xfId="0" applyFont="1" applyBorder="1" applyAlignment="1">
      <alignment vertical="top"/>
    </xf>
    <xf numFmtId="0" fontId="35" fillId="0" borderId="16" xfId="0" applyFont="1" applyBorder="1" applyAlignment="1">
      <alignment horizontal="left"/>
    </xf>
    <xf numFmtId="0" fontId="28" fillId="0" borderId="16" xfId="0" applyFont="1" applyBorder="1" applyAlignment="1">
      <alignment horizontal="left" vertical="center"/>
    </xf>
    <xf numFmtId="0" fontId="28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 wrapText="1"/>
    </xf>
    <xf numFmtId="0" fontId="36" fillId="0" borderId="16" xfId="0" applyFont="1" applyBorder="1" applyAlignment="1">
      <alignment vertical="center"/>
    </xf>
    <xf numFmtId="0" fontId="35" fillId="0" borderId="16" xfId="0" applyFont="1" applyBorder="1" applyAlignment="1">
      <alignment horizontal="left" wrapText="1"/>
    </xf>
    <xf numFmtId="0" fontId="28" fillId="0" borderId="1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/>
    </xf>
    <xf numFmtId="0" fontId="28" fillId="0" borderId="13" xfId="0" applyFont="1" applyBorder="1" applyAlignment="1">
      <alignment vertical="center"/>
    </xf>
    <xf numFmtId="0" fontId="13" fillId="0" borderId="16" xfId="1" applyBorder="1" applyAlignment="1" applyProtection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166" fontId="28" fillId="0" borderId="16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3" fillId="0" borderId="16" xfId="1" applyFill="1" applyBorder="1" applyAlignment="1" applyProtection="1">
      <alignment horizontal="center" vertical="center"/>
    </xf>
    <xf numFmtId="0" fontId="31" fillId="0" borderId="10" xfId="1" applyFont="1" applyFill="1" applyBorder="1" applyAlignment="1" applyProtection="1">
      <alignment horizontal="center" vertical="center" wrapText="1"/>
    </xf>
    <xf numFmtId="0" fontId="31" fillId="0" borderId="11" xfId="1" applyFont="1" applyFill="1" applyBorder="1" applyAlignment="1" applyProtection="1">
      <alignment horizontal="center" vertical="center" wrapText="1"/>
    </xf>
    <xf numFmtId="0" fontId="31" fillId="0" borderId="10" xfId="1" applyFont="1" applyBorder="1" applyAlignment="1" applyProtection="1">
      <alignment horizontal="center" vertical="center" wrapText="1"/>
    </xf>
    <xf numFmtId="0" fontId="31" fillId="0" borderId="11" xfId="1" applyFont="1" applyBorder="1" applyAlignment="1" applyProtection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166" fontId="0" fillId="9" borderId="16" xfId="0" applyNumberForma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0" fontId="28" fillId="9" borderId="12" xfId="0" applyFont="1" applyFill="1" applyBorder="1" applyAlignment="1">
      <alignment horizontal="center" vertical="center"/>
    </xf>
    <xf numFmtId="0" fontId="13" fillId="0" borderId="10" xfId="1" applyBorder="1" applyAlignment="1" applyProtection="1">
      <alignment horizontal="center" vertical="center"/>
    </xf>
    <xf numFmtId="0" fontId="21" fillId="0" borderId="10" xfId="0" applyFon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36" fillId="0" borderId="0" xfId="0" applyFont="1"/>
    <xf numFmtId="0" fontId="13" fillId="0" borderId="0" xfId="1" applyAlignment="1" applyProtection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3" fillId="10" borderId="16" xfId="1" applyFill="1" applyBorder="1" applyAlignment="1" applyProtection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38101</xdr:rowOff>
    </xdr:from>
    <xdr:to>
      <xdr:col>0</xdr:col>
      <xdr:colOff>990600</xdr:colOff>
      <xdr:row>3</xdr:row>
      <xdr:rowOff>30482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38101"/>
          <a:ext cx="838201" cy="7829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AS\svg_23_04\2015_2016\COMMANDE%202016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vac_1 (8)"/>
      <sheetName val="04_28_01"/>
      <sheetName val="vac_1 (7)"/>
      <sheetName val="vac_1 (5)"/>
      <sheetName val="vac_1 (4)"/>
      <sheetName val="vac_1 (3)"/>
      <sheetName val="vac_1 (2)"/>
      <sheetName val="vac_1"/>
      <sheetName val="MARS16_1"/>
      <sheetName val="8"/>
      <sheetName val="7"/>
      <sheetName val="6"/>
      <sheetName val="5"/>
      <sheetName val="4"/>
      <sheetName val="3"/>
      <sheetName val="2"/>
      <sheetName val="1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N4" t="str">
            <v>LP</v>
          </cell>
        </row>
        <row r="5">
          <cell r="N5" t="str">
            <v>LGT</v>
          </cell>
        </row>
        <row r="7">
          <cell r="N7" t="str">
            <v>1001 PILES (directement magasin)</v>
          </cell>
          <cell r="O7" t="str">
            <v>LP - 606180 (gaz)</v>
          </cell>
        </row>
        <row r="8">
          <cell r="N8" t="str">
            <v>3SIGMA (par fax : 09 72 38 33 58)</v>
          </cell>
          <cell r="O8" t="str">
            <v>LP - 606832 (pédagogique)</v>
          </cell>
        </row>
        <row r="9">
          <cell r="N9" t="str">
            <v>A4 TECHNOLOGIE (par fax : 01 64 46 31 19)</v>
          </cell>
          <cell r="O9" t="str">
            <v>LP - 606894 (outillage élèves)</v>
          </cell>
        </row>
        <row r="10">
          <cell r="N10" t="str">
            <v>AFONE INFRASTRUCTURE (achats direct magasin)</v>
          </cell>
          <cell r="O10" t="str">
            <v>LP - 623100-300 (communication)</v>
          </cell>
        </row>
        <row r="11">
          <cell r="N11" t="str">
            <v>ALDEBARAN ROBOTICS (par courrier)</v>
          </cell>
          <cell r="O11" t="str">
            <v>LP - 2-…….  (informatique)</v>
          </cell>
        </row>
        <row r="12">
          <cell r="N12" t="str">
            <v>ALL BATTERIES (par internet)</v>
          </cell>
          <cell r="O12" t="str">
            <v>LP - Immobilisations</v>
          </cell>
        </row>
        <row r="13">
          <cell r="N13" t="str">
            <v>AMAZON (par internet)</v>
          </cell>
          <cell r="O13" t="str">
            <v>LGT - 606844 (Multisecteurs Chef Travaux LGT)</v>
          </cell>
        </row>
        <row r="14">
          <cell r="N14" t="str">
            <v>AMC Technologies (par internet)</v>
          </cell>
          <cell r="O14" t="str">
            <v>LGT - Investissements Région</v>
          </cell>
        </row>
        <row r="15">
          <cell r="N15" t="str">
            <v>ANJOU POMPES (directement Alain)</v>
          </cell>
          <cell r="O15" t="str">
            <v>LGT - Immobilisations</v>
          </cell>
        </row>
        <row r="16">
          <cell r="N16" t="str">
            <v>ARBIOTECH (par fax : 02 99 64 61 39)</v>
          </cell>
        </row>
        <row r="17">
          <cell r="N17" t="str">
            <v>ATLANTIQUE COMPOSANTS (par fax : 02 41 43 95 15)</v>
          </cell>
        </row>
        <row r="18">
          <cell r="N18" t="str">
            <v>BATIDOC (par fax : 02 41 34 87 42)</v>
          </cell>
        </row>
        <row r="19">
          <cell r="N19" t="str">
            <v>BMS (par fax : 04 50 27 38 22)</v>
          </cell>
        </row>
        <row r="20">
          <cell r="N20" t="str">
            <v xml:space="preserve">BRICO DEPOT </v>
          </cell>
        </row>
        <row r="21">
          <cell r="N21" t="str">
            <v>CADWARE EDUCATION (par fax 01 69 20 46 37)</v>
          </cell>
        </row>
        <row r="22">
          <cell r="N22" t="str">
            <v>CD FOLIE.COM (par internet)</v>
          </cell>
        </row>
        <row r="23">
          <cell r="N23" t="str">
            <v>CENTRAL MEDIA (par fax : 01 48 65 45 65)</v>
          </cell>
        </row>
        <row r="24">
          <cell r="N24" t="str">
            <v>CIREA (par fax : 02 41 71 08 59)</v>
          </cell>
        </row>
        <row r="25">
          <cell r="N25" t="str">
            <v>CMIC (par fax : 02 28 23 01 45)</v>
          </cell>
        </row>
        <row r="26">
          <cell r="N26" t="str">
            <v>COM CONSEIL INGENIERIE (par mail)</v>
          </cell>
        </row>
        <row r="27">
          <cell r="N27" t="str">
            <v>CONRAD ENTREPRISES (par fax : 0892 89 60 03)</v>
          </cell>
        </row>
        <row r="28">
          <cell r="N28" t="str">
            <v>DECATHLON</v>
          </cell>
        </row>
        <row r="29">
          <cell r="N29" t="str">
            <v>DEVITECH (par fax : 01 30 90 37 17)</v>
          </cell>
        </row>
        <row r="30">
          <cell r="N30" t="str">
            <v>DISTRIMED (par internet)</v>
          </cell>
        </row>
        <row r="31">
          <cell r="N31" t="str">
            <v>DOMADOO (par internet)</v>
          </cell>
        </row>
        <row r="32">
          <cell r="N32" t="str">
            <v>EBAY (par internet)</v>
          </cell>
        </row>
        <row r="33">
          <cell r="N33" t="str">
            <v>ELEC SYSTEM ((par fax : 02 41 37 02 04)</v>
          </cell>
        </row>
        <row r="34">
          <cell r="N34" t="str">
            <v>ELECTRONIC LOISIRS (par fax : 02 41 88 57 51)</v>
          </cell>
        </row>
        <row r="35">
          <cell r="N35" t="str">
            <v>ELIAN SAS (par fax : 04 74 81 73 35)</v>
          </cell>
        </row>
        <row r="36">
          <cell r="N36" t="str">
            <v>ERE (par fax : 02 41 53 04 79)</v>
          </cell>
        </row>
        <row r="37">
          <cell r="N37" t="str">
            <v>ESPACE EMERAUDE (achats directs Alain)</v>
          </cell>
        </row>
        <row r="38">
          <cell r="N38" t="str">
            <v>EWEE.FR (par internet)</v>
          </cell>
        </row>
        <row r="39">
          <cell r="N39" t="str">
            <v>FAAC SERVICES (par internet)</v>
          </cell>
        </row>
        <row r="40">
          <cell r="N40" t="str">
            <v>FARNELL (par fax : 04 72 29 30 05) mail (ventes@farnell.com)</v>
          </cell>
        </row>
        <row r="41">
          <cell r="N41" t="str">
            <v>FASTNET - Resadia (par mail : fastnet@fastnet.fr)</v>
          </cell>
        </row>
        <row r="42">
          <cell r="N42" t="str">
            <v>FIREP (par fax : 02 41 77 22 25)</v>
          </cell>
        </row>
        <row r="43">
          <cell r="N43" t="str">
            <v>GCE ELECTRONICS (par internet)</v>
          </cell>
        </row>
        <row r="44">
          <cell r="N44" t="str">
            <v>GO TRONIC (par fax : 03 24 27 93 50)</v>
          </cell>
        </row>
        <row r="45">
          <cell r="N45" t="str">
            <v>GRAPHIC BURO (directement au magasin)</v>
          </cell>
        </row>
        <row r="46">
          <cell r="N46" t="str">
            <v xml:space="preserve">HACK SPARK (par internet) paiement chèque chez JMS INFORMATIQUE </v>
          </cell>
        </row>
        <row r="47">
          <cell r="N47" t="str">
            <v>HESTIA (par fax : 03 20 64 55 02)</v>
          </cell>
        </row>
        <row r="48">
          <cell r="N48" t="str">
            <v>HEULIN ROUSSEAU (par fax : 02 41 60 22 01)</v>
          </cell>
        </row>
        <row r="49">
          <cell r="N49" t="str">
            <v>HORLOGE BOIS.FR (par internet)</v>
          </cell>
        </row>
        <row r="50">
          <cell r="N50" t="str">
            <v>HPC Engrenages (par fax : 04 37 49 00 55)</v>
          </cell>
        </row>
        <row r="51">
          <cell r="N51" t="str">
            <v>ILLICO RESEAU (par fax : 02 22 54 24 31)</v>
          </cell>
        </row>
        <row r="52">
          <cell r="N52" t="str">
            <v>INMAC WSTORE (par fax : 08 26 10 71 01)</v>
          </cell>
        </row>
        <row r="53">
          <cell r="N53" t="str">
            <v>JEULIN (par fax : 08 25 56 43 99)</v>
          </cell>
        </row>
        <row r="54">
          <cell r="N54" t="str">
            <v>KEYSIGHT TECHNOLOGIES France (par fax : 01 49 93 22 82)</v>
          </cell>
        </row>
        <row r="55">
          <cell r="N55" t="str">
            <v>LA BOUTIQUE DE DOMOTIQUE.COM (par internet)</v>
          </cell>
        </row>
        <row r="56">
          <cell r="N56" t="str">
            <v>LBC CONCEPT (par internet)</v>
          </cell>
        </row>
        <row r="57">
          <cell r="N57" t="str">
            <v>LDV (par fax : 03 27 38 01 36)</v>
          </cell>
        </row>
        <row r="58">
          <cell r="N58" t="str">
            <v>LDLC.COM (par internet)</v>
          </cell>
        </row>
        <row r="59">
          <cell r="N59" t="str">
            <v>LEROY MERLIN (achats au magasin)</v>
          </cell>
        </row>
        <row r="60">
          <cell r="N60" t="str">
            <v>LEXTRONIC (par fax : 01 45 76 81 41)</v>
          </cell>
        </row>
        <row r="61">
          <cell r="N61" t="str">
            <v>LIGNES 3D (par mail)</v>
          </cell>
        </row>
        <row r="62">
          <cell r="N62" t="str">
            <v>LOGOSAPIENCE (par fax : 02 41 36 83 08)</v>
          </cell>
        </row>
        <row r="63">
          <cell r="N63" t="str">
            <v>MAISON BLEUET (par internet)</v>
          </cell>
        </row>
        <row r="64">
          <cell r="N64" t="str">
            <v>MAKER SHOP 3D (courrier - paiement virement)</v>
          </cell>
        </row>
        <row r="65">
          <cell r="N65" t="str">
            <v>MANUTAN COLLECTIVITES (par fax : 02 99 77 35 35)</v>
          </cell>
        </row>
        <row r="66">
          <cell r="N66" t="str">
            <v>MARTIN RONDEAU (par fax : 02 41 93 22 50)</v>
          </cell>
        </row>
        <row r="67">
          <cell r="N67" t="str">
            <v>MASNADA (vu par Eric)</v>
          </cell>
        </row>
        <row r="68">
          <cell r="N68" t="str">
            <v>MATERIEL.NET (par fax : 02 40 92 91 90)</v>
          </cell>
        </row>
        <row r="69">
          <cell r="N69" t="str">
            <v>MECA-LINE.COM (par internet)</v>
          </cell>
        </row>
        <row r="70">
          <cell r="N70" t="str">
            <v>MININEON (par internet)</v>
          </cell>
        </row>
        <row r="71">
          <cell r="N71" t="str">
            <v>MININTHEBOX.COM (par internet)</v>
          </cell>
        </row>
        <row r="72">
          <cell r="N72" t="str">
            <v>MISTER CHRONO.COM (par internet)</v>
          </cell>
        </row>
        <row r="73">
          <cell r="N73" t="str">
            <v>MORGAN VIEW COMMUNICATION (par fax : 02 41 48 31 75)</v>
          </cell>
        </row>
        <row r="74">
          <cell r="N74" t="str">
            <v>MOTEDIS.FR (par internet)</v>
          </cell>
        </row>
        <row r="75">
          <cell r="N75" t="str">
            <v>NEGRI BOSSI France (par fax : 04 78 97 37 14)</v>
          </cell>
        </row>
        <row r="76">
          <cell r="N76" t="str">
            <v>NOVOTECH INGENIERIE (par fax : 09 89 00 55 80)</v>
          </cell>
        </row>
        <row r="77">
          <cell r="N77" t="str">
            <v>NUMEDUC (par courrier)</v>
          </cell>
        </row>
        <row r="78">
          <cell r="N78" t="str">
            <v>OTELO (par fax : 01 34 30 37 60)</v>
          </cell>
        </row>
        <row r="79">
          <cell r="N79" t="str">
            <v>PAGES JAUNES (par mail + courrier)</v>
          </cell>
        </row>
        <row r="80">
          <cell r="N80" t="str">
            <v>PARALLAX.COM (par internet)</v>
          </cell>
        </row>
        <row r="81">
          <cell r="N81" t="str">
            <v>PEARL DIFFUSION (par 03 88 580 399)</v>
          </cell>
        </row>
        <row r="82">
          <cell r="N82" t="str">
            <v>PENTASONIC (par fax : 02 40 89 89 39)</v>
          </cell>
        </row>
        <row r="83">
          <cell r="N83" t="str">
            <v>PLANETE DOMOTIQUE (par internet)</v>
          </cell>
        </row>
        <row r="84">
          <cell r="N84" t="str">
            <v>POLYDIS (par fax : 03 86 98 21 21)</v>
          </cell>
        </row>
        <row r="85">
          <cell r="N85" t="str">
            <v>POP INFORMATIQUE.COM (par internet)</v>
          </cell>
        </row>
        <row r="86">
          <cell r="N86" t="str">
            <v>PROFIRST (par fax : 03 27 45 61 81)</v>
          </cell>
        </row>
        <row r="87">
          <cell r="N87" t="str">
            <v>RAMI AMIX (par fax : 04 64 66 20 30)</v>
          </cell>
        </row>
        <row r="88">
          <cell r="N88" t="str">
            <v>RC DIFFUSION.COM (par internet)</v>
          </cell>
        </row>
        <row r="89">
          <cell r="N89" t="str">
            <v>Remboursement profs SALS</v>
          </cell>
        </row>
        <row r="90">
          <cell r="N90" t="str">
            <v>REXEL (par fax : 02 41 34 90 75)</v>
          </cell>
        </row>
        <row r="91">
          <cell r="N91" t="str">
            <v>RG BUS (vu Alain directement)</v>
          </cell>
        </row>
        <row r="92">
          <cell r="N92" t="str">
            <v>ROBOT SHOP.COM (par internet - virement possible)</v>
          </cell>
        </row>
        <row r="93">
          <cell r="N93" t="str">
            <v>RPG MAKER (internet)</v>
          </cell>
        </row>
        <row r="94">
          <cell r="N94" t="str">
            <v>RS COMPONENTS - Radiospares (par fax : 08 25 34 50 00)</v>
          </cell>
        </row>
        <row r="95">
          <cell r="N95" t="str">
            <v>RUE DU COMMERCE (ne plus commander chez eux)</v>
          </cell>
        </row>
        <row r="96">
          <cell r="N96" t="str">
            <v>SATECH (par fax : 02 43 40 00 99)</v>
          </cell>
        </row>
        <row r="97">
          <cell r="N97" t="str">
            <v>SADEL (achats magasin direct)</v>
          </cell>
        </row>
        <row r="98">
          <cell r="N98" t="str">
            <v>Schenker Joyau Transports (par fax : 02 41 21 20 09)</v>
          </cell>
        </row>
        <row r="99">
          <cell r="N99" t="str">
            <v>SERVEUR OCCASION.COM (par internet)</v>
          </cell>
        </row>
        <row r="100">
          <cell r="N100" t="str">
            <v>SERVILAB (par fax : 02 43 39 25 39)</v>
          </cell>
        </row>
        <row r="101">
          <cell r="N101" t="str">
            <v>SNETOR DISTRIBUTION (par fax : 01 49 04 88 99)</v>
          </cell>
        </row>
        <row r="102">
          <cell r="N102" t="str">
            <v>SONEPAR SUD OUEST SAS (Ex CSO) (par fax : 02 41 37 05 46)</v>
          </cell>
        </row>
        <row r="103">
          <cell r="N103" t="str">
            <v>SONODIS (par fax : 02 35 22 05 12)</v>
          </cell>
        </row>
        <row r="104">
          <cell r="N104" t="str">
            <v>SORDALAB (par fax : 01 69 92 13 53)</v>
          </cell>
        </row>
        <row r="105">
          <cell r="N105" t="str">
            <v>STAUBLI (par fax : 02 40 30 03 50)</v>
          </cell>
        </row>
        <row r="106">
          <cell r="N106" t="str">
            <v>SUBLET.FR (par internet)</v>
          </cell>
        </row>
        <row r="107">
          <cell r="N107" t="str">
            <v>SUPER U - Les Banchais (par fax : 02 41 43 26 93)</v>
          </cell>
        </row>
        <row r="108">
          <cell r="N108" t="str">
            <v>TALLERES PENA S.L. (envoi transporteur) Espagne</v>
          </cell>
        </row>
        <row r="109">
          <cell r="N109" t="str">
            <v>TECHNOLOGIE SERVICES (par fax : 04 77 94 55 14)</v>
          </cell>
        </row>
        <row r="110">
          <cell r="N110" t="str">
            <v>TEL2PRO (par internet)</v>
          </cell>
        </row>
        <row r="111">
          <cell r="N111" t="str">
            <v>TME (par internet)</v>
          </cell>
        </row>
        <row r="112">
          <cell r="N112" t="str">
            <v>TTI - TT (par fax : 49 8142 6680)</v>
          </cell>
        </row>
        <row r="113">
          <cell r="N113" t="str">
            <v>URBAN FACTORY WEB (par internet) envoi chèque à adresse Paris</v>
          </cell>
        </row>
        <row r="114">
          <cell r="N114" t="str">
            <v>VENTOUSES-SOUFFLETS.COM (par internet)</v>
          </cell>
        </row>
        <row r="115">
          <cell r="N115" t="str">
            <v>YADOM - ZEN TECHNOLOGY (par internet)</v>
          </cell>
        </row>
        <row r="116">
          <cell r="N116" t="str">
            <v>YOCTOPUCE (par internet)</v>
          </cell>
        </row>
        <row r="117">
          <cell r="N117" t="str">
            <v>ZARTRONIC (par fax : 08 97 10 85 17)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fr/ProductDetail/KEMET/C0603C104K3RAC7867?qs=xVzHhAug4FDdRVkDlBDPLA%3D%3D" TargetMode="External"/><Relationship Id="rId18" Type="http://schemas.openxmlformats.org/officeDocument/2006/relationships/hyperlink" Target="https://www.mouser.fr/ProductDetail/Samsung-Electro-Mechanics/CL10A226MP8NUNE?qs=gRKWieUq2Hb5O0PTfRKzDQ%3D%3D" TargetMode="External"/><Relationship Id="rId26" Type="http://schemas.openxmlformats.org/officeDocument/2006/relationships/hyperlink" Target="https://www.mouser.fr/ProductDetail/STMicroelectronics/LD1117S18CTR?qs=qolwYojYp3Sa3BPkKnJupg%3D%3D" TargetMode="External"/><Relationship Id="rId39" Type="http://schemas.openxmlformats.org/officeDocument/2006/relationships/hyperlink" Target="https://fr.farnell.com/neohm-te-connectivity/cpf0603b680re1/res-couche-mince-680r-0-1-0-063w/dp/1697373" TargetMode="External"/><Relationship Id="rId21" Type="http://schemas.openxmlformats.org/officeDocument/2006/relationships/hyperlink" Target="https://www.mouser.fr/ProductDetail/Espressif-Systems/ESP32-S2-MINI-2-N4?qs=vvQtp7zwQdM3K3%252BMqU8BtA%3D%3D" TargetMode="External"/><Relationship Id="rId34" Type="http://schemas.openxmlformats.org/officeDocument/2006/relationships/hyperlink" Target="https://fr.farnell.com/c-k-components/js202011cqn/commutateur-dpdt-0-6a-6vdc-tht/dp/2320018" TargetMode="External"/><Relationship Id="rId42" Type="http://schemas.openxmlformats.org/officeDocument/2006/relationships/hyperlink" Target="https://fr.farnell.com/wurth-elektronik/7847805100/multilayer-inductor-1nh-0-3a-0603/dp/3780978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ttps://www.mouser.fr/ProductDetail/Microchip-Technology/MCP6002T-I-SN?qs=hul3WK2zl4od4mMZEAcUDQ%3D%3D" TargetMode="External"/><Relationship Id="rId2" Type="http://schemas.openxmlformats.org/officeDocument/2006/relationships/hyperlink" Target="https://www.mouser.fr/ProductDetail/Texas-Instruments/TL783CKCSE3?qs=7kv20MEVUlgqq%252Bl8ftXLuw%3D%3D&amp;srsltid=AfmBOorDpWMwEPEnt8C5ZJVlu_de52ejWpFJ6fOMu9Jzo1Kbssdn2jHt" TargetMode="External"/><Relationship Id="rId16" Type="http://schemas.openxmlformats.org/officeDocument/2006/relationships/hyperlink" Target="https://www.mouser.fr/ProductDetail/KEMET/C0603X330M1HACTU?qs=sGAEpiMZZMsh%252B1woXyUXj90eH8eFEGzZAeQ%252BSrfTT1c%3D" TargetMode="External"/><Relationship Id="rId29" Type="http://schemas.openxmlformats.org/officeDocument/2006/relationships/hyperlink" Target="https://www.mouser.fr/ProductDetail/TDK/MLG1005S1N5ST000?qs=sGAEpiMZZMv126LJFLh8y9UxAEGD6uQhtErnFBQ1iB4%3D" TargetMode="External"/><Relationship Id="rId1" Type="http://schemas.openxmlformats.org/officeDocument/2006/relationships/hyperlink" Target="https://www.mouser.fr/ProductDetail/onsemi-Fairchild/FQP27P06?qs=K0aVCp%2F7QwamLq4YWL6s1g%3D%3D&amp;srsltid=AfmBOoru7y-S9h5sAPxVCuwORz8LO3fV5KKH96U8-4S5TokWmRR8REsx" TargetMode="External"/><Relationship Id="rId6" Type="http://schemas.openxmlformats.org/officeDocument/2006/relationships/hyperlink" Target="https://www.mouser.fr/ProductDetail/Infineon-Technologies/IRLZ44NPBF?qs=9%252BKlkBgLFf15OZZk%252BD0ibg%3D%3D" TargetMode="External"/><Relationship Id="rId11" Type="http://schemas.openxmlformats.org/officeDocument/2006/relationships/hyperlink" Target="https://www.mouser.fr/ProductDetail/Texas-Instruments/TMUX1574PWR?qs=byeeYqUIh0MjLW36DajeuA%3D%3D" TargetMode="External"/><Relationship Id="rId24" Type="http://schemas.openxmlformats.org/officeDocument/2006/relationships/hyperlink" Target="https://www.mouser.fr/ProductDetail/Samsung-Electro-Mechanics/CL10A105KP8NNNL?qs=sGAEpiMZZMsh%252B1woXyUXj9e2R%2FOkAO5o%252BfaOen3egHA%3D" TargetMode="External"/><Relationship Id="rId32" Type="http://schemas.openxmlformats.org/officeDocument/2006/relationships/hyperlink" Target="https://fr.farnell.com/jst-japan-solderless-terminals/s2b-xh-a-lf-sn/embase-male-90-deg-2-voies/dp/1516289?cfm=true" TargetMode="External"/><Relationship Id="rId37" Type="http://schemas.openxmlformats.org/officeDocument/2006/relationships/hyperlink" Target="https://fr.farnell.com/te-connectivity/rp73pf1j10kbtdf/res-couche-mince-10k-0-1-0-166w/dp/2116784" TargetMode="External"/><Relationship Id="rId40" Type="http://schemas.openxmlformats.org/officeDocument/2006/relationships/hyperlink" Target="https://fr.farnell.com/neohm-te-connectivity/cpf0603b1k0e1/res-couche-mince-1k-0-1-0-063w/dp/1697375" TargetMode="External"/><Relationship Id="rId45" Type="http://schemas.openxmlformats.org/officeDocument/2006/relationships/hyperlink" Target="https://www.amazon.fr/XLX-10-pcs-Broches-FamilyMall-Xh2-54/dp/B076HK1W1Q?__mk_fr_FR=&#197;M&#197;&#381;&#213;&#209;&amp;crid=3UW4RYKYYDF73&amp;dib=eyJ2IjoiMSJ9.UVmsXLcRJNOemOGSn7ZwuYeH7QOd0frC1pjISL97XZeEuD5a9lfjx4yClskN9MIn1TNxpe05vPngJJ3tmnW-9QCc0CH0geQegN-Gb3WuSm9v_bpkrblmFtk4gpnKLQhi9zqXDQN8Yn7c6cg1DNmRbovz0hU4HFvzZU_QTXVVay6-EleqJJfXATBZ8d3Ud9jl6Pc27Q0gCWUq5oChgcHlUSy1tHCJhgs3FTW2ueAUo7e5mEnn9F7lSOSgF0vSj9XwPu1f1XMMLa6X8nKadroeDFky-e-JJH7j9FrLjxkf3os.PJYp8tQYQkaOAAFZDt-ysmcTAdhm0j7lQaT8feQoMRQ&amp;dib_tag=se&amp;keywords=cable+jst+XH2.54&amp;qid=1747985014&amp;sprefix=cable+jst+xh2.54%2Caps%2C200&amp;sr=8-9" TargetMode="External"/><Relationship Id="rId5" Type="http://schemas.openxmlformats.org/officeDocument/2006/relationships/hyperlink" Target="https://www.mouser.fr/ProductDetail/Diotec-Semiconductor/1N5408?qs=OlC7AqGiEDk0pr6B3mpSmg%3D%3D" TargetMode="External"/><Relationship Id="rId15" Type="http://schemas.openxmlformats.org/officeDocument/2006/relationships/hyperlink" Target="https://www.mouser.fr/ProductDetail/Samsung-Electro-Mechanics/CL10A106KQ8NNNC?qs=sGAEpiMZZMsh%252B1woXyUXj7iNKXiFkBmwzPOCqj6wuiI%3D" TargetMode="External"/><Relationship Id="rId23" Type="http://schemas.openxmlformats.org/officeDocument/2006/relationships/hyperlink" Target="https://www.mouser.fr/ProductDetail/KYOCERA-AVX/P822601?qs=vdi0iO8H4N0igrTLYxGIXg%3D%3D" TargetMode="External"/><Relationship Id="rId28" Type="http://schemas.openxmlformats.org/officeDocument/2006/relationships/hyperlink" Target="https://www.mouser.fr/ProductDetail/Murata-Electronics/GJM1555C1H3R5CB01D?qs=sGAEpiMZZMsh%252B1woXyUXj0C6QEf9qqOqa88nXZd%2FpEs%3D" TargetMode="External"/><Relationship Id="rId36" Type="http://schemas.openxmlformats.org/officeDocument/2006/relationships/hyperlink" Target="https://fr.farnell.com/nexperia/74hct08pw-118/porte-et-quad-2-i-p-tssop-14/dp/2463866?iscrfnonsku=true" TargetMode="External"/><Relationship Id="rId10" Type="http://schemas.openxmlformats.org/officeDocument/2006/relationships/hyperlink" Target="https://www.mouser.fr/ProductDetail/Amphenol-Commercial-Products/12401899E412A?qs=0lSvoLzn4L%2FxruERFi%2FtTg%3D%3D" TargetMode="External"/><Relationship Id="rId19" Type="http://schemas.openxmlformats.org/officeDocument/2006/relationships/hyperlink" Target="https://www.mouser.fr/ProductDetail/KOA-Speer/RK73Z1JTTDD?qs=sGAEpiMZZMtlubZbdhIBIOIkEhSyZ1IOpjyUKjVzbOA%3D" TargetMode="External"/><Relationship Id="rId31" Type="http://schemas.openxmlformats.org/officeDocument/2006/relationships/hyperlink" Target="https://fr.farnell.com/wago/2059-302-998-403/terminal-block-wire-to-brd-2pos/dp/2452831" TargetMode="External"/><Relationship Id="rId44" Type="http://schemas.openxmlformats.org/officeDocument/2006/relationships/hyperlink" Target="https://fr.farnell.com/vishay/byg22b-e3-tr/dioode-simple-100v-2a-do-214ac/dp/3373136" TargetMode="External"/><Relationship Id="rId4" Type="http://schemas.openxmlformats.org/officeDocument/2006/relationships/hyperlink" Target="https://www.mouser.fr/ProductDetail/Texas-Instruments/LM317AT-NOPB?qs=X1J7HmVL2ZFYFJRcNgsWcQ%3D%3D" TargetMode="External"/><Relationship Id="rId9" Type="http://schemas.openxmlformats.org/officeDocument/2006/relationships/hyperlink" Target="https://www.mouser.fr/ProductDetail/Texas-Instruments/SN74LVC1G08DBVR?qs=8yeEWhuAOtNjtL049wSCoQ%3D%3D" TargetMode="External"/><Relationship Id="rId14" Type="http://schemas.openxmlformats.org/officeDocument/2006/relationships/hyperlink" Target="https://www.mouser.fr/ProductDetail/Same-Sky/TS02-66-43-BK-160-LCR-D?qs=A6eO%252BMLsxmTzCMyhm6Ihkw%3D%3D" TargetMode="External"/><Relationship Id="rId22" Type="http://schemas.openxmlformats.org/officeDocument/2006/relationships/hyperlink" Target="https://www.mouser.fr/ProductDetail/NXP-Semiconductors/NX3DV2567HR115?qs=vbj%2FKoHZRAiiWuv6kNsCBg%3D%3D" TargetMode="External"/><Relationship Id="rId27" Type="http://schemas.openxmlformats.org/officeDocument/2006/relationships/hyperlink" Target="https://www.mouser.fr/ProductDetail/Samsung-Electro-Mechanics/CL10C820JB81PNC?qs=sGAEpiMZZMsh%252B1woXyUXjxqcB7t9naYpANC2oYG%2F7i0%3D" TargetMode="External"/><Relationship Id="rId30" Type="http://schemas.openxmlformats.org/officeDocument/2006/relationships/hyperlink" Target="https://www.mouser.fr/ProductDetail/Wurth-Elektronik/7447840122?qs=sGAEpiMZZMv126LJFLh8yyOx6Bzv8uleXVbpbmWn9wU%3D" TargetMode="External"/><Relationship Id="rId35" Type="http://schemas.openxmlformats.org/officeDocument/2006/relationships/hyperlink" Target="https://fr.farnell.com/neohm-te-connectivity/cpf0603b120re1/res-couche-mince-120r-0-1-0-063w/dp/1697363" TargetMode="External"/><Relationship Id="rId43" Type="http://schemas.openxmlformats.org/officeDocument/2006/relationships/hyperlink" Target="https://fr.farnell.com/jst-japan-solderless-terminals/s5b-xh-a-lf-sn/embase-male-90-deg-5-voies/dp/1516293" TargetMode="External"/><Relationship Id="rId8" Type="http://schemas.openxmlformats.org/officeDocument/2006/relationships/hyperlink" Target="https://www.mouser.fr/ProductDetail/Soldered/101918?qs=%252BXxaIXUDbq25NKCAeWcTPg%3D%3D" TargetMode="External"/><Relationship Id="rId3" Type="http://schemas.openxmlformats.org/officeDocument/2006/relationships/hyperlink" Target="https://www.mouser.fr/ProductDetail/Harwin/M7582-46?qs=7s%252BXa3YB%252Byr6%252BQgSWGuBjA%3D%3D" TargetMode="External"/><Relationship Id="rId12" Type="http://schemas.openxmlformats.org/officeDocument/2006/relationships/hyperlink" Target="https://www.mouser.fr/ProductDetail/Broadcom-Avago/HSMH-H191?qs=sGAEpiMZZMvVL5Kk7ZYykaXDR74jB6yfiq43RdmevZuGZzGZbdYlkw%3D%3D" TargetMode="External"/><Relationship Id="rId17" Type="http://schemas.openxmlformats.org/officeDocument/2006/relationships/hyperlink" Target="https://www.mouser.fr/ProductDetail/Samsung-Electro-Mechanics/CL10A475KQ8NNND?qs=sGAEpiMZZMsh%252B1woXyUXjxqcB7t9naYpEtcGw8inHXs%3D" TargetMode="External"/><Relationship Id="rId25" Type="http://schemas.openxmlformats.org/officeDocument/2006/relationships/hyperlink" Target="https://www.mouser.fr/ProductDetail/TE-Connectivity-Linx-Technologies/ANT-GNCP-TH258L15?qs=eP2BKZSCXI5ynHY%252Bev0v1Q%3D%3D" TargetMode="External"/><Relationship Id="rId33" Type="http://schemas.openxmlformats.org/officeDocument/2006/relationships/hyperlink" Target="https://fr.farnell.com/onsemi/fsa2466umx/commutateur-analogique-dpdt-40/dp/2992295" TargetMode="External"/><Relationship Id="rId38" Type="http://schemas.openxmlformats.org/officeDocument/2006/relationships/hyperlink" Target="https://fr.farnell.com/te-connectivity/cpf0603b5k1e1/res-couche-mince-5-1k-0-1-0-063w/dp/2331290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mouser.fr/ProductDetail/YAGEO/AC0603FR-7W20KL?qs=sGAEpiMZZMtlubZbdhIBICFms2LWLh%252BqCbWFVeXXg1I%3D" TargetMode="External"/><Relationship Id="rId41" Type="http://schemas.openxmlformats.org/officeDocument/2006/relationships/hyperlink" Target="https://fr.farnell.com/stmicroelectronics/usblc6-2sc6/protection-esd-17v-sot-23/dp/1269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178"/>
  <sheetViews>
    <sheetView tabSelected="1" workbookViewId="0">
      <selection activeCell="M84" sqref="M84"/>
    </sheetView>
  </sheetViews>
  <sheetFormatPr baseColWidth="10" defaultColWidth="11.42578125" defaultRowHeight="15" x14ac:dyDescent="0.25"/>
  <cols>
    <col min="1" max="1" width="17.28515625" customWidth="1"/>
    <col min="2" max="2" width="7.85546875" customWidth="1"/>
    <col min="3" max="3" width="9.7109375" customWidth="1"/>
    <col min="4" max="4" width="12.7109375" customWidth="1"/>
    <col min="5" max="5" width="66.7109375" customWidth="1"/>
    <col min="6" max="6" width="1.42578125" customWidth="1"/>
    <col min="7" max="7" width="6" customWidth="1"/>
    <col min="8" max="8" width="3.7109375" customWidth="1"/>
    <col min="9" max="9" width="9.140625" customWidth="1"/>
    <col min="10" max="10" width="3.42578125" customWidth="1"/>
    <col min="11" max="11" width="4.42578125" customWidth="1"/>
    <col min="12" max="12" width="9.28515625" customWidth="1"/>
    <col min="14" max="14" width="60.5703125" bestFit="1" customWidth="1"/>
    <col min="15" max="15" width="45.28515625" bestFit="1" customWidth="1"/>
    <col min="16" max="16" width="48.7109375" customWidth="1"/>
    <col min="17" max="17" width="21.85546875" bestFit="1" customWidth="1"/>
    <col min="18" max="18" width="1.5703125" customWidth="1"/>
    <col min="19" max="19" width="18.85546875" bestFit="1" customWidth="1"/>
  </cols>
  <sheetData>
    <row r="1" spans="1:17" ht="23.25" customHeight="1" x14ac:dyDescent="0.25">
      <c r="K1" t="s">
        <v>50</v>
      </c>
    </row>
    <row r="2" spans="1:17" ht="18.75" x14ac:dyDescent="0.3">
      <c r="D2" s="1" t="s">
        <v>0</v>
      </c>
      <c r="E2" s="1"/>
      <c r="F2" s="1"/>
      <c r="G2" s="1"/>
      <c r="H2" s="1"/>
      <c r="I2" s="2"/>
      <c r="J2" s="3"/>
      <c r="K2" s="1" t="s">
        <v>51</v>
      </c>
    </row>
    <row r="3" spans="1:17" ht="20.25" customHeight="1" x14ac:dyDescent="0.25"/>
    <row r="4" spans="1:17" ht="17.25" customHeight="1" thickBot="1" x14ac:dyDescent="0.3">
      <c r="A4" s="90" t="s">
        <v>2</v>
      </c>
      <c r="B4" s="91"/>
      <c r="C4" s="91"/>
      <c r="N4" s="59" t="s">
        <v>54</v>
      </c>
    </row>
    <row r="5" spans="1:17" ht="14.25" customHeight="1" x14ac:dyDescent="0.25">
      <c r="A5" s="91"/>
      <c r="B5" s="91"/>
      <c r="C5" s="91"/>
      <c r="E5" s="4"/>
      <c r="F5" s="5"/>
      <c r="G5" s="5"/>
      <c r="H5" s="5"/>
      <c r="I5" s="5"/>
      <c r="J5" s="5"/>
      <c r="K5" s="5"/>
      <c r="L5" s="6"/>
      <c r="N5" s="59" t="s">
        <v>55</v>
      </c>
    </row>
    <row r="6" spans="1:17" ht="20.25" customHeight="1" x14ac:dyDescent="0.25">
      <c r="A6" s="96" t="s">
        <v>3</v>
      </c>
      <c r="B6" s="97"/>
      <c r="C6" s="97"/>
      <c r="E6" s="98"/>
      <c r="F6" s="64"/>
      <c r="G6" s="64"/>
      <c r="H6" s="64"/>
      <c r="I6" s="64"/>
      <c r="J6" s="64"/>
      <c r="K6" s="64"/>
      <c r="L6" s="99"/>
      <c r="M6" s="7"/>
      <c r="N6" s="59" t="s">
        <v>53</v>
      </c>
    </row>
    <row r="7" spans="1:17" ht="12.75" customHeight="1" x14ac:dyDescent="0.25">
      <c r="A7" s="100" t="s">
        <v>5</v>
      </c>
      <c r="B7" s="100"/>
      <c r="C7" s="100"/>
      <c r="E7" s="8"/>
      <c r="F7" s="9"/>
      <c r="G7" s="9"/>
      <c r="H7" s="9"/>
      <c r="I7" s="9"/>
      <c r="J7" s="9"/>
      <c r="K7" s="9"/>
      <c r="L7" s="10"/>
      <c r="M7" s="11"/>
      <c r="N7" s="59" t="s">
        <v>1</v>
      </c>
      <c r="O7" s="60" t="s">
        <v>193</v>
      </c>
    </row>
    <row r="8" spans="1:17" ht="10.5" customHeight="1" x14ac:dyDescent="0.25">
      <c r="A8" s="101" t="s">
        <v>44</v>
      </c>
      <c r="B8" s="101"/>
      <c r="C8" s="101"/>
      <c r="E8" s="102"/>
      <c r="F8" s="103"/>
      <c r="G8" s="103"/>
      <c r="H8" s="103"/>
      <c r="I8" s="103"/>
      <c r="J8" s="103"/>
      <c r="K8" s="103"/>
      <c r="L8" s="104"/>
      <c r="M8" s="11"/>
      <c r="O8" s="60" t="s">
        <v>52</v>
      </c>
    </row>
    <row r="9" spans="1:17" ht="10.5" customHeight="1" x14ac:dyDescent="0.25">
      <c r="A9" s="101" t="s">
        <v>45</v>
      </c>
      <c r="B9" s="101"/>
      <c r="C9" s="101"/>
      <c r="E9" s="105"/>
      <c r="F9" s="106"/>
      <c r="G9" s="106"/>
      <c r="H9" s="106"/>
      <c r="I9" s="106"/>
      <c r="J9" s="106"/>
      <c r="K9" s="106"/>
      <c r="L9" s="107"/>
      <c r="M9" s="11"/>
      <c r="N9" s="7"/>
      <c r="O9" s="60" t="s">
        <v>6</v>
      </c>
    </row>
    <row r="10" spans="1:17" x14ac:dyDescent="0.25">
      <c r="A10" s="64" t="s">
        <v>7</v>
      </c>
      <c r="B10" s="64"/>
      <c r="C10" s="64"/>
      <c r="E10" s="108"/>
      <c r="F10" s="109"/>
      <c r="G10" s="109"/>
      <c r="H10" s="109"/>
      <c r="I10" s="109"/>
      <c r="J10" s="109"/>
      <c r="K10" s="109"/>
      <c r="L10" s="110"/>
      <c r="M10" s="12"/>
      <c r="N10" s="61" t="s">
        <v>4</v>
      </c>
      <c r="O10" s="60" t="s">
        <v>194</v>
      </c>
    </row>
    <row r="11" spans="1:17" x14ac:dyDescent="0.25">
      <c r="A11" s="64" t="s">
        <v>8</v>
      </c>
      <c r="B11" s="64"/>
      <c r="C11" s="64"/>
      <c r="E11" s="111"/>
      <c r="F11" s="112"/>
      <c r="G11" s="112"/>
      <c r="H11" s="13"/>
      <c r="I11" s="113"/>
      <c r="J11" s="114"/>
      <c r="K11" s="114"/>
      <c r="L11" s="115"/>
      <c r="N11" s="61" t="s">
        <v>187</v>
      </c>
      <c r="O11" s="60" t="s">
        <v>195</v>
      </c>
    </row>
    <row r="12" spans="1:17" x14ac:dyDescent="0.25">
      <c r="E12" s="8"/>
      <c r="F12" s="9"/>
      <c r="G12" s="9"/>
      <c r="H12" s="9"/>
      <c r="I12" s="9"/>
      <c r="K12" s="9"/>
      <c r="L12" s="10"/>
      <c r="N12" s="61" t="s">
        <v>77</v>
      </c>
      <c r="O12" s="60" t="s">
        <v>196</v>
      </c>
    </row>
    <row r="13" spans="1:17" ht="15.75" x14ac:dyDescent="0.25">
      <c r="A13" s="14" t="s">
        <v>10</v>
      </c>
      <c r="B13" s="92"/>
      <c r="C13" s="92"/>
      <c r="E13" s="8" t="s">
        <v>11</v>
      </c>
      <c r="F13" s="93"/>
      <c r="G13" s="93"/>
      <c r="H13" s="93"/>
      <c r="I13" s="9" t="s">
        <v>12</v>
      </c>
      <c r="J13" s="94"/>
      <c r="K13" s="94"/>
      <c r="L13" s="95"/>
      <c r="N13" s="61" t="s">
        <v>78</v>
      </c>
      <c r="O13" s="60" t="s">
        <v>9</v>
      </c>
    </row>
    <row r="14" spans="1:17" ht="15" customHeight="1" thickBot="1" x14ac:dyDescent="0.3">
      <c r="A14" s="14"/>
      <c r="B14" s="7"/>
      <c r="C14" s="7"/>
      <c r="E14" s="15"/>
      <c r="F14" s="16"/>
      <c r="G14" s="16"/>
      <c r="H14" s="16"/>
      <c r="I14" s="16"/>
      <c r="J14" s="16"/>
      <c r="K14" s="16"/>
      <c r="L14" s="17"/>
      <c r="N14" s="61" t="s">
        <v>79</v>
      </c>
      <c r="O14" s="60" t="s">
        <v>197</v>
      </c>
      <c r="Q14" s="18"/>
    </row>
    <row r="15" spans="1:17" x14ac:dyDescent="0.25">
      <c r="A15" s="14" t="s">
        <v>14</v>
      </c>
      <c r="B15" s="92"/>
      <c r="C15" s="116"/>
      <c r="N15" s="61" t="s">
        <v>80</v>
      </c>
      <c r="O15" s="60" t="s">
        <v>13</v>
      </c>
    </row>
    <row r="16" spans="1:17" ht="12.75" customHeight="1" x14ac:dyDescent="0.25">
      <c r="A16" s="14"/>
      <c r="B16" s="7"/>
      <c r="C16" s="7"/>
      <c r="G16" s="7" t="s">
        <v>46</v>
      </c>
      <c r="H16" s="7"/>
      <c r="I16" s="7"/>
      <c r="J16" s="7" t="s">
        <v>47</v>
      </c>
      <c r="L16" s="7"/>
      <c r="N16" s="62" t="s">
        <v>134</v>
      </c>
      <c r="O16" s="60" t="s">
        <v>15</v>
      </c>
    </row>
    <row r="17" spans="1:20" x14ac:dyDescent="0.25">
      <c r="A17" s="14" t="s">
        <v>16</v>
      </c>
      <c r="B17" s="92"/>
      <c r="C17" s="116"/>
      <c r="D17" s="7"/>
      <c r="E17" s="19"/>
      <c r="G17" s="7" t="s">
        <v>17</v>
      </c>
      <c r="H17" s="19"/>
      <c r="I17" s="117"/>
      <c r="J17" s="118"/>
      <c r="K17" s="118"/>
      <c r="L17" s="118"/>
      <c r="N17" s="62" t="s">
        <v>135</v>
      </c>
    </row>
    <row r="18" spans="1:20" ht="9" customHeight="1" x14ac:dyDescent="0.25">
      <c r="N18" s="62" t="s">
        <v>136</v>
      </c>
    </row>
    <row r="19" spans="1:20" s="20" customFormat="1" ht="24.95" customHeight="1" x14ac:dyDescent="0.25">
      <c r="A19" s="119" t="s">
        <v>18</v>
      </c>
      <c r="B19" s="120" t="s">
        <v>198</v>
      </c>
      <c r="C19" s="120"/>
      <c r="D19" s="163" t="s">
        <v>19</v>
      </c>
      <c r="E19" s="164"/>
      <c r="F19" s="122" t="s">
        <v>199</v>
      </c>
      <c r="G19" s="123"/>
      <c r="H19" s="124"/>
      <c r="I19" s="119" t="s">
        <v>20</v>
      </c>
      <c r="J19" s="125" t="s">
        <v>21</v>
      </c>
      <c r="K19" s="121" t="s">
        <v>22</v>
      </c>
      <c r="L19" s="126"/>
      <c r="N19" s="61" t="s">
        <v>81</v>
      </c>
      <c r="O19"/>
      <c r="P19"/>
      <c r="Q19"/>
      <c r="R19"/>
      <c r="S19"/>
      <c r="T19"/>
    </row>
    <row r="20" spans="1:20" s="20" customFormat="1" ht="24.95" customHeight="1" x14ac:dyDescent="0.25">
      <c r="A20" s="171" t="s">
        <v>333</v>
      </c>
      <c r="B20" s="163" t="s">
        <v>341</v>
      </c>
      <c r="C20" s="165"/>
      <c r="D20" s="161" t="s">
        <v>342</v>
      </c>
      <c r="E20" s="162"/>
      <c r="F20" s="163">
        <v>1</v>
      </c>
      <c r="G20" s="164"/>
      <c r="H20" s="165"/>
      <c r="I20" s="119">
        <v>36.58</v>
      </c>
      <c r="J20" s="125"/>
      <c r="K20" s="163">
        <f xml:space="preserve"> I20*F20</f>
        <v>36.58</v>
      </c>
      <c r="L20" s="165"/>
      <c r="N20" s="61"/>
      <c r="O20"/>
      <c r="P20"/>
      <c r="Q20"/>
      <c r="R20"/>
      <c r="S20"/>
      <c r="T20"/>
    </row>
    <row r="21" spans="1:20" s="20" customFormat="1" ht="24.95" customHeight="1" x14ac:dyDescent="0.25">
      <c r="A21" s="171" t="s">
        <v>334</v>
      </c>
      <c r="B21" s="163" t="s">
        <v>341</v>
      </c>
      <c r="C21" s="165"/>
      <c r="D21" s="161" t="s">
        <v>343</v>
      </c>
      <c r="E21" s="162"/>
      <c r="F21" s="163">
        <v>1</v>
      </c>
      <c r="G21" s="164"/>
      <c r="H21" s="165"/>
      <c r="I21" s="119">
        <v>7.9</v>
      </c>
      <c r="J21" s="125"/>
      <c r="K21" s="163">
        <f t="shared" ref="K21:K84" si="0" xml:space="preserve"> I21*F21</f>
        <v>7.9</v>
      </c>
      <c r="L21" s="165"/>
      <c r="N21" s="61"/>
      <c r="O21"/>
      <c r="P21"/>
      <c r="Q21"/>
      <c r="R21"/>
      <c r="S21"/>
      <c r="T21"/>
    </row>
    <row r="22" spans="1:20" s="20" customFormat="1" ht="24.95" customHeight="1" x14ac:dyDescent="0.25">
      <c r="A22" s="171" t="s">
        <v>335</v>
      </c>
      <c r="B22" s="163" t="s">
        <v>341</v>
      </c>
      <c r="C22" s="165"/>
      <c r="D22" s="161" t="s">
        <v>344</v>
      </c>
      <c r="E22" s="162"/>
      <c r="F22" s="163">
        <v>1</v>
      </c>
      <c r="G22" s="164"/>
      <c r="H22" s="165"/>
      <c r="I22" s="119">
        <v>73.63</v>
      </c>
      <c r="J22" s="125"/>
      <c r="K22" s="163">
        <f t="shared" si="0"/>
        <v>73.63</v>
      </c>
      <c r="L22" s="165"/>
      <c r="N22" s="61"/>
      <c r="O22"/>
      <c r="P22"/>
      <c r="Q22"/>
      <c r="R22"/>
      <c r="S22"/>
      <c r="T22"/>
    </row>
    <row r="23" spans="1:20" s="20" customFormat="1" ht="24.95" customHeight="1" x14ac:dyDescent="0.25">
      <c r="A23" s="171" t="s">
        <v>336</v>
      </c>
      <c r="B23" s="163" t="s">
        <v>341</v>
      </c>
      <c r="C23" s="165"/>
      <c r="D23" s="161" t="s">
        <v>345</v>
      </c>
      <c r="E23" s="162"/>
      <c r="F23" s="163">
        <v>1</v>
      </c>
      <c r="G23" s="164"/>
      <c r="H23" s="165"/>
      <c r="I23" s="119">
        <v>5.69</v>
      </c>
      <c r="J23" s="125"/>
      <c r="K23" s="163">
        <f t="shared" si="0"/>
        <v>5.69</v>
      </c>
      <c r="L23" s="165"/>
      <c r="N23" s="61"/>
      <c r="O23"/>
      <c r="P23"/>
      <c r="Q23"/>
      <c r="R23"/>
      <c r="S23"/>
      <c r="T23"/>
    </row>
    <row r="24" spans="1:20" s="20" customFormat="1" ht="24.95" customHeight="1" x14ac:dyDescent="0.25">
      <c r="A24" t="s">
        <v>337</v>
      </c>
      <c r="B24" s="163" t="s">
        <v>341</v>
      </c>
      <c r="C24" s="165"/>
      <c r="D24" s="161" t="s">
        <v>346</v>
      </c>
      <c r="E24" s="162"/>
      <c r="F24" s="163">
        <v>1</v>
      </c>
      <c r="G24" s="164"/>
      <c r="H24" s="165"/>
      <c r="I24" s="119">
        <v>4.2300000000000004</v>
      </c>
      <c r="J24" s="125"/>
      <c r="K24" s="163">
        <f t="shared" si="0"/>
        <v>4.2300000000000004</v>
      </c>
      <c r="L24" s="165"/>
      <c r="N24" s="61"/>
      <c r="O24"/>
      <c r="P24"/>
      <c r="Q24"/>
      <c r="R24"/>
      <c r="S24"/>
      <c r="T24"/>
    </row>
    <row r="25" spans="1:20" s="20" customFormat="1" ht="24.95" customHeight="1" x14ac:dyDescent="0.25">
      <c r="A25" t="s">
        <v>339</v>
      </c>
      <c r="B25" s="163" t="s">
        <v>341</v>
      </c>
      <c r="C25" s="165"/>
      <c r="D25" s="161" t="s">
        <v>347</v>
      </c>
      <c r="E25" s="162"/>
      <c r="F25" s="163">
        <v>1</v>
      </c>
      <c r="G25" s="164"/>
      <c r="H25" s="165"/>
      <c r="I25" s="119">
        <v>1.24</v>
      </c>
      <c r="J25" s="125"/>
      <c r="K25" s="163">
        <f t="shared" si="0"/>
        <v>1.24</v>
      </c>
      <c r="L25" s="165"/>
      <c r="N25" s="61"/>
      <c r="O25"/>
      <c r="P25"/>
      <c r="Q25"/>
      <c r="R25"/>
      <c r="S25"/>
      <c r="T25"/>
    </row>
    <row r="26" spans="1:20" s="20" customFormat="1" ht="24.95" customHeight="1" x14ac:dyDescent="0.25">
      <c r="A26" t="s">
        <v>338</v>
      </c>
      <c r="B26" s="163" t="s">
        <v>341</v>
      </c>
      <c r="C26" s="165"/>
      <c r="D26" s="161" t="s">
        <v>342</v>
      </c>
      <c r="E26" s="162"/>
      <c r="F26" s="163">
        <v>1</v>
      </c>
      <c r="G26" s="164"/>
      <c r="H26" s="165"/>
      <c r="I26" s="119">
        <v>19.87</v>
      </c>
      <c r="J26" s="125"/>
      <c r="K26" s="163">
        <f t="shared" si="0"/>
        <v>19.87</v>
      </c>
      <c r="L26" s="165"/>
      <c r="N26" s="61"/>
      <c r="O26"/>
      <c r="P26"/>
      <c r="Q26"/>
      <c r="R26"/>
      <c r="S26"/>
      <c r="T26"/>
    </row>
    <row r="27" spans="1:20" s="20" customFormat="1" ht="24.95" customHeight="1" x14ac:dyDescent="0.25">
      <c r="A27" t="s">
        <v>340</v>
      </c>
      <c r="B27" s="163" t="s">
        <v>341</v>
      </c>
      <c r="C27" s="165"/>
      <c r="D27" s="161" t="s">
        <v>348</v>
      </c>
      <c r="E27" s="162"/>
      <c r="F27" s="163">
        <v>1</v>
      </c>
      <c r="G27" s="164"/>
      <c r="H27" s="165"/>
      <c r="I27" s="119">
        <v>7.6</v>
      </c>
      <c r="J27" s="125"/>
      <c r="K27" s="163">
        <f t="shared" si="0"/>
        <v>7.6</v>
      </c>
      <c r="L27" s="165"/>
      <c r="N27" s="61"/>
      <c r="O27"/>
      <c r="P27"/>
      <c r="Q27"/>
      <c r="R27"/>
      <c r="S27"/>
      <c r="T27"/>
    </row>
    <row r="28" spans="1:20" ht="18" customHeight="1" x14ac:dyDescent="0.25">
      <c r="A28" s="127" t="s">
        <v>200</v>
      </c>
      <c r="B28" s="128" t="s">
        <v>201</v>
      </c>
      <c r="C28" s="128"/>
      <c r="D28" s="129" t="s">
        <v>202</v>
      </c>
      <c r="E28" s="129"/>
      <c r="F28" s="130">
        <v>4</v>
      </c>
      <c r="G28" s="130"/>
      <c r="H28" s="130"/>
      <c r="I28" s="131">
        <v>2.39</v>
      </c>
      <c r="J28" s="132">
        <v>1</v>
      </c>
      <c r="K28" s="163">
        <f t="shared" si="0"/>
        <v>9.56</v>
      </c>
      <c r="L28" s="165"/>
      <c r="N28" s="61" t="s">
        <v>82</v>
      </c>
    </row>
    <row r="29" spans="1:20" ht="18" customHeight="1" x14ac:dyDescent="0.25">
      <c r="A29" s="127" t="s">
        <v>203</v>
      </c>
      <c r="B29" s="128" t="s">
        <v>204</v>
      </c>
      <c r="C29" s="128"/>
      <c r="D29" s="129" t="s">
        <v>205</v>
      </c>
      <c r="E29" s="129"/>
      <c r="F29" s="130">
        <v>1</v>
      </c>
      <c r="G29" s="130"/>
      <c r="H29" s="130"/>
      <c r="I29" s="131">
        <v>2.62</v>
      </c>
      <c r="J29" s="132">
        <v>1</v>
      </c>
      <c r="K29" s="163">
        <f t="shared" si="0"/>
        <v>2.62</v>
      </c>
      <c r="L29" s="165"/>
      <c r="N29" s="62" t="s">
        <v>56</v>
      </c>
      <c r="O29" s="20"/>
    </row>
    <row r="30" spans="1:20" ht="18" customHeight="1" x14ac:dyDescent="0.25">
      <c r="A30" s="133" t="s">
        <v>206</v>
      </c>
      <c r="B30" s="128" t="s">
        <v>207</v>
      </c>
      <c r="C30" s="128"/>
      <c r="D30" s="134" t="s">
        <v>208</v>
      </c>
      <c r="E30" s="129"/>
      <c r="F30" s="130">
        <v>4</v>
      </c>
      <c r="G30" s="130"/>
      <c r="H30" s="130"/>
      <c r="I30" s="131">
        <v>0.13300000000000001</v>
      </c>
      <c r="J30" s="132">
        <v>1</v>
      </c>
      <c r="K30" s="163">
        <f t="shared" si="0"/>
        <v>0.53200000000000003</v>
      </c>
      <c r="L30" s="165"/>
      <c r="N30" s="62" t="s">
        <v>57</v>
      </c>
    </row>
    <row r="31" spans="1:20" ht="18" customHeight="1" x14ac:dyDescent="0.25">
      <c r="A31" s="133" t="s">
        <v>209</v>
      </c>
      <c r="B31" s="128" t="s">
        <v>204</v>
      </c>
      <c r="C31" s="128"/>
      <c r="D31" s="134" t="s">
        <v>210</v>
      </c>
      <c r="E31" s="129"/>
      <c r="F31" s="130">
        <v>3</v>
      </c>
      <c r="G31" s="130"/>
      <c r="H31" s="130"/>
      <c r="I31" s="131">
        <v>1.9</v>
      </c>
      <c r="J31" s="132">
        <v>1</v>
      </c>
      <c r="K31" s="163">
        <f t="shared" si="0"/>
        <v>5.6999999999999993</v>
      </c>
      <c r="L31" s="165"/>
      <c r="N31" s="61" t="s">
        <v>58</v>
      </c>
    </row>
    <row r="32" spans="1:20" ht="18" customHeight="1" x14ac:dyDescent="0.25">
      <c r="A32" s="127" t="s">
        <v>211</v>
      </c>
      <c r="B32" s="128" t="s">
        <v>212</v>
      </c>
      <c r="C32" s="128"/>
      <c r="D32" s="129" t="s">
        <v>213</v>
      </c>
      <c r="E32" s="129"/>
      <c r="F32" s="130">
        <v>1</v>
      </c>
      <c r="G32" s="130"/>
      <c r="H32" s="130"/>
      <c r="I32" s="131">
        <v>0.34</v>
      </c>
      <c r="J32" s="132">
        <v>1</v>
      </c>
      <c r="K32" s="163">
        <f t="shared" si="0"/>
        <v>0.34</v>
      </c>
      <c r="L32" s="165"/>
      <c r="N32" s="61" t="s">
        <v>83</v>
      </c>
    </row>
    <row r="33" spans="1:20" ht="18" customHeight="1" x14ac:dyDescent="0.25">
      <c r="A33" s="127" t="s">
        <v>214</v>
      </c>
      <c r="B33" s="128" t="s">
        <v>201</v>
      </c>
      <c r="C33" s="128"/>
      <c r="D33" s="129" t="s">
        <v>215</v>
      </c>
      <c r="E33" s="129"/>
      <c r="F33" s="130">
        <v>4</v>
      </c>
      <c r="G33" s="130"/>
      <c r="H33" s="130"/>
      <c r="I33" s="131">
        <v>1.21</v>
      </c>
      <c r="J33" s="132">
        <v>1</v>
      </c>
      <c r="K33" s="163">
        <f t="shared" si="0"/>
        <v>4.84</v>
      </c>
      <c r="L33" s="165"/>
      <c r="N33" s="62" t="s">
        <v>84</v>
      </c>
    </row>
    <row r="34" spans="1:20" ht="18" customHeight="1" x14ac:dyDescent="0.25">
      <c r="A34" s="133" t="s">
        <v>216</v>
      </c>
      <c r="B34" s="128" t="s">
        <v>217</v>
      </c>
      <c r="C34" s="128"/>
      <c r="D34" s="129" t="s">
        <v>218</v>
      </c>
      <c r="E34" s="129"/>
      <c r="F34" s="130">
        <v>1</v>
      </c>
      <c r="G34" s="130"/>
      <c r="H34" s="130"/>
      <c r="I34" s="135">
        <v>0.39</v>
      </c>
      <c r="J34" s="132">
        <v>1</v>
      </c>
      <c r="K34" s="163">
        <f t="shared" si="0"/>
        <v>0.39</v>
      </c>
      <c r="L34" s="165"/>
      <c r="N34" s="61" t="s">
        <v>138</v>
      </c>
    </row>
    <row r="35" spans="1:20" ht="18" customHeight="1" x14ac:dyDescent="0.25">
      <c r="A35" s="133" t="s">
        <v>219</v>
      </c>
      <c r="B35" s="128" t="s">
        <v>217</v>
      </c>
      <c r="C35" s="128"/>
      <c r="D35" s="129" t="s">
        <v>220</v>
      </c>
      <c r="E35" s="129"/>
      <c r="F35" s="130">
        <v>1</v>
      </c>
      <c r="G35" s="130"/>
      <c r="H35" s="130"/>
      <c r="I35" s="131">
        <v>1.99</v>
      </c>
      <c r="J35" s="132">
        <v>1</v>
      </c>
      <c r="K35" s="163">
        <f t="shared" si="0"/>
        <v>1.99</v>
      </c>
      <c r="L35" s="165"/>
      <c r="N35" s="61" t="s">
        <v>137</v>
      </c>
    </row>
    <row r="36" spans="1:20" ht="18" customHeight="1" x14ac:dyDescent="0.25">
      <c r="A36" s="133" t="s">
        <v>221</v>
      </c>
      <c r="B36" s="128" t="s">
        <v>217</v>
      </c>
      <c r="C36" s="128"/>
      <c r="D36" s="129" t="s">
        <v>222</v>
      </c>
      <c r="E36" s="129"/>
      <c r="F36" s="130">
        <v>1</v>
      </c>
      <c r="G36" s="130"/>
      <c r="H36" s="130"/>
      <c r="I36" s="131">
        <v>9.5000000000000001E-2</v>
      </c>
      <c r="J36" s="132">
        <v>1</v>
      </c>
      <c r="K36" s="163">
        <f t="shared" si="0"/>
        <v>9.5000000000000001E-2</v>
      </c>
      <c r="L36" s="165"/>
      <c r="N36" s="61" t="s">
        <v>59</v>
      </c>
    </row>
    <row r="37" spans="1:20" ht="18" customHeight="1" x14ac:dyDescent="0.25">
      <c r="A37" s="133" t="s">
        <v>223</v>
      </c>
      <c r="B37" s="128" t="s">
        <v>217</v>
      </c>
      <c r="C37" s="128"/>
      <c r="D37" s="136" t="s">
        <v>224</v>
      </c>
      <c r="E37" s="136"/>
      <c r="F37" s="130">
        <v>2</v>
      </c>
      <c r="G37" s="130"/>
      <c r="H37" s="130"/>
      <c r="I37" s="137">
        <v>1.81</v>
      </c>
      <c r="J37" s="132">
        <v>1</v>
      </c>
      <c r="K37" s="163">
        <f t="shared" si="0"/>
        <v>3.62</v>
      </c>
      <c r="L37" s="165"/>
      <c r="N37" s="61" t="s">
        <v>60</v>
      </c>
    </row>
    <row r="38" spans="1:20" ht="18" customHeight="1" x14ac:dyDescent="0.25">
      <c r="A38" s="133" t="s">
        <v>225</v>
      </c>
      <c r="B38" s="128" t="s">
        <v>217</v>
      </c>
      <c r="C38" s="128"/>
      <c r="D38" s="136" t="s">
        <v>226</v>
      </c>
      <c r="E38" s="136"/>
      <c r="F38" s="130">
        <v>1</v>
      </c>
      <c r="G38" s="130"/>
      <c r="H38" s="130"/>
      <c r="I38" s="137">
        <v>0.42799999999999999</v>
      </c>
      <c r="J38" s="132">
        <v>1</v>
      </c>
      <c r="K38" s="163">
        <f t="shared" si="0"/>
        <v>0.42799999999999999</v>
      </c>
      <c r="L38" s="165"/>
      <c r="N38" s="61" t="s">
        <v>85</v>
      </c>
    </row>
    <row r="39" spans="1:20" ht="18" customHeight="1" x14ac:dyDescent="0.25">
      <c r="A39" s="133" t="s">
        <v>227</v>
      </c>
      <c r="B39" s="128" t="s">
        <v>228</v>
      </c>
      <c r="C39" s="128"/>
      <c r="D39" s="136" t="s">
        <v>229</v>
      </c>
      <c r="E39" s="136"/>
      <c r="F39" s="130">
        <v>6</v>
      </c>
      <c r="G39" s="130"/>
      <c r="H39" s="130"/>
      <c r="I39" s="137">
        <v>0.247</v>
      </c>
      <c r="J39" s="132">
        <v>1</v>
      </c>
      <c r="K39" s="163">
        <f t="shared" si="0"/>
        <v>1.482</v>
      </c>
      <c r="L39" s="165"/>
      <c r="N39" s="61" t="s">
        <v>86</v>
      </c>
    </row>
    <row r="40" spans="1:20" ht="18" customHeight="1" x14ac:dyDescent="0.25">
      <c r="A40" s="138" t="s">
        <v>230</v>
      </c>
      <c r="B40" s="139" t="s">
        <v>231</v>
      </c>
      <c r="C40" s="139"/>
      <c r="D40" s="136" t="s">
        <v>232</v>
      </c>
      <c r="E40" s="136"/>
      <c r="F40" s="140">
        <v>12</v>
      </c>
      <c r="G40" s="140"/>
      <c r="H40" s="140"/>
      <c r="I40" s="137">
        <v>9.5000000000000001E-2</v>
      </c>
      <c r="J40" s="132">
        <v>1</v>
      </c>
      <c r="K40" s="163">
        <f t="shared" si="0"/>
        <v>1.1400000000000001</v>
      </c>
      <c r="L40" s="165"/>
      <c r="N40" s="61" t="s">
        <v>23</v>
      </c>
    </row>
    <row r="41" spans="1:20" ht="18" customHeight="1" x14ac:dyDescent="0.25">
      <c r="A41" s="138" t="s">
        <v>233</v>
      </c>
      <c r="B41" s="128" t="s">
        <v>234</v>
      </c>
      <c r="C41" s="128"/>
      <c r="D41" s="136" t="s">
        <v>235</v>
      </c>
      <c r="E41" s="136"/>
      <c r="F41" s="141">
        <v>5</v>
      </c>
      <c r="G41" s="141"/>
      <c r="H41" s="130"/>
      <c r="I41" s="137">
        <v>9.5000000000000001E-2</v>
      </c>
      <c r="J41" s="132">
        <v>1</v>
      </c>
      <c r="K41" s="163">
        <f t="shared" si="0"/>
        <v>0.47499999999999998</v>
      </c>
      <c r="L41" s="165"/>
      <c r="N41" s="62" t="s">
        <v>139</v>
      </c>
    </row>
    <row r="42" spans="1:20" ht="18" customHeight="1" x14ac:dyDescent="0.25">
      <c r="A42" s="133" t="s">
        <v>236</v>
      </c>
      <c r="B42" s="128" t="s">
        <v>237</v>
      </c>
      <c r="C42" s="128"/>
      <c r="D42" s="136" t="s">
        <v>238</v>
      </c>
      <c r="E42" s="136"/>
      <c r="F42" s="141">
        <v>4</v>
      </c>
      <c r="G42" s="141"/>
      <c r="H42" s="130"/>
      <c r="I42" s="137">
        <v>9.5000000000000001E-2</v>
      </c>
      <c r="J42" s="132">
        <v>1</v>
      </c>
      <c r="K42" s="163">
        <f t="shared" si="0"/>
        <v>0.38</v>
      </c>
      <c r="L42" s="165"/>
      <c r="N42" s="61" t="s">
        <v>87</v>
      </c>
    </row>
    <row r="43" spans="1:20" ht="18" customHeight="1" x14ac:dyDescent="0.25">
      <c r="A43" s="133" t="s">
        <v>239</v>
      </c>
      <c r="B43" s="128" t="s">
        <v>237</v>
      </c>
      <c r="C43" s="128"/>
      <c r="D43" s="136" t="s">
        <v>240</v>
      </c>
      <c r="E43" s="136"/>
      <c r="F43" s="141">
        <v>4</v>
      </c>
      <c r="G43" s="141"/>
      <c r="H43" s="130"/>
      <c r="I43" s="137">
        <v>9.5000000000000001E-2</v>
      </c>
      <c r="J43" s="132">
        <v>1</v>
      </c>
      <c r="K43" s="163">
        <f t="shared" si="0"/>
        <v>0.38</v>
      </c>
      <c r="L43" s="165"/>
      <c r="N43" s="62" t="s">
        <v>88</v>
      </c>
    </row>
    <row r="44" spans="1:20" s="27" customFormat="1" ht="25.5" customHeight="1" x14ac:dyDescent="0.25">
      <c r="A44" s="138" t="s">
        <v>241</v>
      </c>
      <c r="B44" s="128" t="s">
        <v>217</v>
      </c>
      <c r="C44" s="128"/>
      <c r="D44" s="136" t="s">
        <v>242</v>
      </c>
      <c r="E44" s="136"/>
      <c r="F44" s="141">
        <v>2</v>
      </c>
      <c r="G44" s="141"/>
      <c r="H44" s="130"/>
      <c r="I44" s="137">
        <v>9.5000000000000001E-2</v>
      </c>
      <c r="J44" s="132">
        <v>1</v>
      </c>
      <c r="K44" s="163">
        <f t="shared" si="0"/>
        <v>0.19</v>
      </c>
      <c r="L44" s="165"/>
      <c r="N44" s="62" t="s">
        <v>89</v>
      </c>
      <c r="O44"/>
      <c r="P44"/>
      <c r="Q44"/>
      <c r="R44"/>
      <c r="S44"/>
      <c r="T44"/>
    </row>
    <row r="45" spans="1:20" s="27" customFormat="1" ht="16.5" customHeight="1" x14ac:dyDescent="0.25">
      <c r="A45" s="133" t="s">
        <v>243</v>
      </c>
      <c r="B45" s="128" t="s">
        <v>217</v>
      </c>
      <c r="C45" s="128"/>
      <c r="D45" s="136" t="s">
        <v>244</v>
      </c>
      <c r="E45" s="136"/>
      <c r="F45" s="141">
        <v>2</v>
      </c>
      <c r="G45" s="141"/>
      <c r="H45" s="130"/>
      <c r="I45" s="137">
        <v>9.5000000000000001E-2</v>
      </c>
      <c r="J45" s="132">
        <v>1</v>
      </c>
      <c r="K45" s="163">
        <f t="shared" si="0"/>
        <v>0.19</v>
      </c>
      <c r="L45" s="165"/>
      <c r="N45" s="62" t="s">
        <v>90</v>
      </c>
      <c r="O45"/>
      <c r="P45"/>
      <c r="Q45"/>
      <c r="R45"/>
      <c r="S45"/>
      <c r="T45"/>
    </row>
    <row r="46" spans="1:20" s="27" customFormat="1" ht="16.5" customHeight="1" x14ac:dyDescent="0.25">
      <c r="A46" s="133" t="s">
        <v>245</v>
      </c>
      <c r="B46" s="128" t="s">
        <v>217</v>
      </c>
      <c r="C46" s="128"/>
      <c r="D46" s="136" t="s">
        <v>246</v>
      </c>
      <c r="E46" s="136"/>
      <c r="F46" s="141">
        <v>2</v>
      </c>
      <c r="G46" s="141"/>
      <c r="H46" s="130"/>
      <c r="I46" s="137">
        <v>9.5000000000000001E-2</v>
      </c>
      <c r="J46" s="132">
        <v>1</v>
      </c>
      <c r="K46" s="163">
        <f t="shared" si="0"/>
        <v>0.19</v>
      </c>
      <c r="L46" s="165"/>
      <c r="N46" s="61" t="s">
        <v>140</v>
      </c>
      <c r="P46"/>
      <c r="Q46"/>
      <c r="R46"/>
      <c r="S46"/>
      <c r="T46"/>
    </row>
    <row r="47" spans="1:20" ht="16.5" customHeight="1" x14ac:dyDescent="0.25">
      <c r="A47" s="133" t="s">
        <v>247</v>
      </c>
      <c r="B47" s="128" t="s">
        <v>248</v>
      </c>
      <c r="C47" s="128"/>
      <c r="D47" s="136" t="s">
        <v>249</v>
      </c>
      <c r="E47" s="136"/>
      <c r="F47" s="141">
        <v>4</v>
      </c>
      <c r="G47" s="141"/>
      <c r="H47" s="130"/>
      <c r="I47" s="137">
        <v>0.10100000000000001</v>
      </c>
      <c r="J47" s="132">
        <v>1</v>
      </c>
      <c r="K47" s="163">
        <f t="shared" si="0"/>
        <v>0.40400000000000003</v>
      </c>
      <c r="L47" s="165"/>
      <c r="N47" s="61" t="s">
        <v>91</v>
      </c>
      <c r="O47" s="27"/>
    </row>
    <row r="48" spans="1:20" ht="16.5" customHeight="1" x14ac:dyDescent="0.25">
      <c r="A48" s="133" t="s">
        <v>250</v>
      </c>
      <c r="B48" s="128" t="s">
        <v>217</v>
      </c>
      <c r="C48" s="128"/>
      <c r="D48" s="136" t="s">
        <v>251</v>
      </c>
      <c r="E48" s="136"/>
      <c r="F48" s="141">
        <v>2</v>
      </c>
      <c r="G48" s="141"/>
      <c r="H48" s="130"/>
      <c r="I48" s="137">
        <v>9.5000000000000001E-2</v>
      </c>
      <c r="J48" s="132">
        <v>1</v>
      </c>
      <c r="K48" s="163">
        <f t="shared" si="0"/>
        <v>0.19</v>
      </c>
      <c r="L48" s="165"/>
      <c r="N48" s="61" t="s">
        <v>92</v>
      </c>
      <c r="O48" s="27"/>
      <c r="Q48" s="18"/>
    </row>
    <row r="49" spans="1:17" ht="27" customHeight="1" x14ac:dyDescent="0.25">
      <c r="A49" s="133" t="s">
        <v>252</v>
      </c>
      <c r="B49" s="128" t="s">
        <v>217</v>
      </c>
      <c r="C49" s="128"/>
      <c r="D49" s="142" t="s">
        <v>253</v>
      </c>
      <c r="E49" s="136"/>
      <c r="F49" s="141">
        <v>1</v>
      </c>
      <c r="G49" s="141"/>
      <c r="H49" s="130"/>
      <c r="I49" s="137">
        <v>2.2000000000000002</v>
      </c>
      <c r="J49" s="132">
        <v>1</v>
      </c>
      <c r="K49" s="163">
        <f t="shared" si="0"/>
        <v>2.2000000000000002</v>
      </c>
      <c r="L49" s="165"/>
      <c r="N49" s="61" t="s">
        <v>93</v>
      </c>
    </row>
    <row r="50" spans="1:17" ht="16.5" customHeight="1" x14ac:dyDescent="0.25">
      <c r="A50" s="133" t="s">
        <v>254</v>
      </c>
      <c r="B50" s="128" t="s">
        <v>217</v>
      </c>
      <c r="C50" s="128"/>
      <c r="D50" s="142" t="s">
        <v>255</v>
      </c>
      <c r="E50" s="136"/>
      <c r="F50" s="141">
        <v>1</v>
      </c>
      <c r="G50" s="141"/>
      <c r="H50" s="130"/>
      <c r="I50" s="137">
        <v>0.751</v>
      </c>
      <c r="J50" s="132">
        <v>1</v>
      </c>
      <c r="K50" s="163">
        <f t="shared" si="0"/>
        <v>0.751</v>
      </c>
      <c r="L50" s="165"/>
      <c r="N50" s="61" t="s">
        <v>141</v>
      </c>
    </row>
    <row r="51" spans="1:17" ht="13.5" customHeight="1" x14ac:dyDescent="0.25">
      <c r="A51" s="133" t="s">
        <v>256</v>
      </c>
      <c r="B51" s="128" t="s">
        <v>217</v>
      </c>
      <c r="C51" s="128"/>
      <c r="D51" s="136" t="s">
        <v>257</v>
      </c>
      <c r="E51" s="136"/>
      <c r="F51" s="141">
        <v>1</v>
      </c>
      <c r="G51" s="141"/>
      <c r="H51" s="130"/>
      <c r="I51" s="137">
        <v>3.16</v>
      </c>
      <c r="J51" s="132">
        <v>1</v>
      </c>
      <c r="K51" s="163">
        <f t="shared" si="0"/>
        <v>3.16</v>
      </c>
      <c r="L51" s="165"/>
      <c r="N51" s="61" t="s">
        <v>142</v>
      </c>
    </row>
    <row r="52" spans="1:17" ht="13.5" customHeight="1" x14ac:dyDescent="0.25">
      <c r="A52" s="133" t="s">
        <v>258</v>
      </c>
      <c r="B52" s="128" t="s">
        <v>217</v>
      </c>
      <c r="C52" s="128"/>
      <c r="D52" s="136" t="s">
        <v>259</v>
      </c>
      <c r="E52" s="136"/>
      <c r="F52" s="141">
        <v>2</v>
      </c>
      <c r="G52" s="141"/>
      <c r="H52" s="130"/>
      <c r="I52" s="137">
        <v>9.5000000000000001E-2</v>
      </c>
      <c r="J52" s="132">
        <v>1</v>
      </c>
      <c r="K52" s="163">
        <f t="shared" si="0"/>
        <v>0.19</v>
      </c>
      <c r="L52" s="165"/>
      <c r="N52" s="61" t="s">
        <v>143</v>
      </c>
    </row>
    <row r="53" spans="1:17" ht="13.5" customHeight="1" x14ac:dyDescent="0.25">
      <c r="A53" s="133" t="s">
        <v>260</v>
      </c>
      <c r="B53" s="128" t="s">
        <v>217</v>
      </c>
      <c r="C53" s="128"/>
      <c r="D53" s="136" t="s">
        <v>261</v>
      </c>
      <c r="E53" s="136"/>
      <c r="F53" s="141">
        <v>1</v>
      </c>
      <c r="G53" s="141"/>
      <c r="H53" s="130"/>
      <c r="I53" s="137">
        <v>5.07</v>
      </c>
      <c r="J53" s="132">
        <v>1</v>
      </c>
      <c r="K53" s="163">
        <f t="shared" si="0"/>
        <v>5.07</v>
      </c>
      <c r="L53" s="165"/>
      <c r="N53" s="61" t="s">
        <v>61</v>
      </c>
    </row>
    <row r="54" spans="1:17" ht="14.25" customHeight="1" x14ac:dyDescent="0.25">
      <c r="A54" s="133" t="s">
        <v>262</v>
      </c>
      <c r="B54" s="128" t="s">
        <v>217</v>
      </c>
      <c r="C54" s="128"/>
      <c r="D54" s="136" t="s">
        <v>263</v>
      </c>
      <c r="E54" s="136"/>
      <c r="F54" s="141">
        <v>1</v>
      </c>
      <c r="G54" s="141"/>
      <c r="H54" s="130"/>
      <c r="I54" s="137">
        <v>0.38</v>
      </c>
      <c r="J54" s="132">
        <v>1</v>
      </c>
      <c r="K54" s="163">
        <f t="shared" si="0"/>
        <v>0.38</v>
      </c>
      <c r="L54" s="165"/>
      <c r="N54" s="61" t="s">
        <v>94</v>
      </c>
    </row>
    <row r="55" spans="1:17" ht="13.5" customHeight="1" x14ac:dyDescent="0.25">
      <c r="A55" s="143" t="s">
        <v>264</v>
      </c>
      <c r="B55" s="144" t="s">
        <v>217</v>
      </c>
      <c r="C55" s="145"/>
      <c r="D55" s="146" t="s">
        <v>265</v>
      </c>
      <c r="E55" s="147"/>
      <c r="F55" s="148">
        <v>2</v>
      </c>
      <c r="G55" s="149"/>
      <c r="H55" s="150"/>
      <c r="I55" s="151">
        <v>9.5000000000000001E-2</v>
      </c>
      <c r="J55" s="132">
        <v>1</v>
      </c>
      <c r="K55" s="163">
        <f t="shared" si="0"/>
        <v>0.19</v>
      </c>
      <c r="L55" s="165"/>
      <c r="N55" s="61" t="s">
        <v>62</v>
      </c>
    </row>
    <row r="56" spans="1:17" ht="13.5" customHeight="1" x14ac:dyDescent="0.25">
      <c r="A56" s="143" t="s">
        <v>266</v>
      </c>
      <c r="B56" s="144" t="s">
        <v>217</v>
      </c>
      <c r="C56" s="145"/>
      <c r="D56" s="146" t="s">
        <v>267</v>
      </c>
      <c r="E56" s="147"/>
      <c r="F56" s="148">
        <v>2</v>
      </c>
      <c r="G56" s="149"/>
      <c r="H56" s="150"/>
      <c r="I56" s="151">
        <v>9.5000000000000001E-2</v>
      </c>
      <c r="J56" s="132">
        <v>1</v>
      </c>
      <c r="K56" s="163">
        <f t="shared" si="0"/>
        <v>0.19</v>
      </c>
      <c r="L56" s="165"/>
      <c r="N56" s="61" t="s">
        <v>63</v>
      </c>
    </row>
    <row r="57" spans="1:17" ht="13.5" customHeight="1" x14ac:dyDescent="0.25">
      <c r="A57" s="143" t="s">
        <v>268</v>
      </c>
      <c r="B57" s="144" t="s">
        <v>217</v>
      </c>
      <c r="C57" s="145"/>
      <c r="D57" s="146" t="s">
        <v>269</v>
      </c>
      <c r="E57" s="147"/>
      <c r="F57" s="148">
        <v>2</v>
      </c>
      <c r="G57" s="149"/>
      <c r="H57" s="150"/>
      <c r="I57" s="151">
        <v>9.5000000000000001E-2</v>
      </c>
      <c r="J57" s="132">
        <v>1</v>
      </c>
      <c r="K57" s="163">
        <f t="shared" si="0"/>
        <v>0.19</v>
      </c>
      <c r="L57" s="165"/>
      <c r="N57" s="61" t="s">
        <v>64</v>
      </c>
    </row>
    <row r="58" spans="1:17" x14ac:dyDescent="0.25">
      <c r="A58" s="152" t="s">
        <v>270</v>
      </c>
      <c r="B58" s="153" t="s">
        <v>204</v>
      </c>
      <c r="C58" s="153"/>
      <c r="D58" s="153" t="s">
        <v>271</v>
      </c>
      <c r="E58" s="153"/>
      <c r="F58" s="154">
        <v>1</v>
      </c>
      <c r="G58" s="154"/>
      <c r="H58" s="154"/>
      <c r="I58" s="155">
        <v>0.27</v>
      </c>
      <c r="J58" s="156">
        <v>1</v>
      </c>
      <c r="K58" s="163">
        <f t="shared" si="0"/>
        <v>0.27</v>
      </c>
      <c r="L58" s="165"/>
      <c r="N58" s="61" t="s">
        <v>95</v>
      </c>
    </row>
    <row r="59" spans="1:17" x14ac:dyDescent="0.25">
      <c r="A59" s="157" t="s">
        <v>272</v>
      </c>
      <c r="B59" s="158" t="s">
        <v>204</v>
      </c>
      <c r="C59" s="158"/>
      <c r="D59" s="158" t="s">
        <v>273</v>
      </c>
      <c r="E59" s="158"/>
      <c r="F59" s="159">
        <v>3</v>
      </c>
      <c r="G59" s="159"/>
      <c r="H59" s="159"/>
      <c r="I59" s="160">
        <v>0.1</v>
      </c>
      <c r="J59" s="156">
        <v>1</v>
      </c>
      <c r="K59" s="163">
        <f t="shared" si="0"/>
        <v>0.30000000000000004</v>
      </c>
      <c r="L59" s="165"/>
      <c r="N59" s="61" t="s">
        <v>144</v>
      </c>
    </row>
    <row r="60" spans="1:17" x14ac:dyDescent="0.25">
      <c r="A60" s="157" t="s">
        <v>274</v>
      </c>
      <c r="B60" s="161" t="s">
        <v>275</v>
      </c>
      <c r="C60" s="162"/>
      <c r="D60" s="161" t="s">
        <v>276</v>
      </c>
      <c r="E60" s="162"/>
      <c r="F60" s="163">
        <v>4</v>
      </c>
      <c r="G60" s="164"/>
      <c r="H60" s="165"/>
      <c r="I60" s="155">
        <v>0.13</v>
      </c>
      <c r="J60" s="156">
        <v>1</v>
      </c>
      <c r="K60" s="163">
        <f t="shared" si="0"/>
        <v>0.52</v>
      </c>
      <c r="L60" s="165"/>
      <c r="N60" s="62" t="s">
        <v>145</v>
      </c>
    </row>
    <row r="61" spans="1:17" ht="15" customHeight="1" x14ac:dyDescent="0.25">
      <c r="A61" s="157" t="s">
        <v>277</v>
      </c>
      <c r="B61" s="161" t="s">
        <v>278</v>
      </c>
      <c r="C61" s="162"/>
      <c r="D61" s="166" t="s">
        <v>279</v>
      </c>
      <c r="E61" s="162"/>
      <c r="F61" s="163">
        <v>3</v>
      </c>
      <c r="G61" s="164"/>
      <c r="H61" s="165"/>
      <c r="I61" s="167">
        <v>0.1</v>
      </c>
      <c r="J61" s="156">
        <v>1</v>
      </c>
      <c r="K61" s="163">
        <f t="shared" si="0"/>
        <v>0.30000000000000004</v>
      </c>
      <c r="L61" s="165"/>
      <c r="N61" s="62" t="s">
        <v>146</v>
      </c>
    </row>
    <row r="62" spans="1:17" ht="39" x14ac:dyDescent="0.25">
      <c r="A62" s="168" t="s">
        <v>280</v>
      </c>
      <c r="B62" s="161" t="s">
        <v>212</v>
      </c>
      <c r="C62" s="162"/>
      <c r="D62" s="161" t="s">
        <v>281</v>
      </c>
      <c r="E62" s="162"/>
      <c r="F62" s="163">
        <v>1</v>
      </c>
      <c r="G62" s="164"/>
      <c r="H62" s="165"/>
      <c r="I62" s="167">
        <v>0.1</v>
      </c>
      <c r="J62" s="156">
        <v>1</v>
      </c>
      <c r="K62" s="163">
        <f t="shared" si="0"/>
        <v>0.1</v>
      </c>
      <c r="L62" s="165"/>
      <c r="N62" s="61" t="s">
        <v>96</v>
      </c>
    </row>
    <row r="63" spans="1:17" x14ac:dyDescent="0.25">
      <c r="A63" s="168" t="s">
        <v>282</v>
      </c>
      <c r="B63" s="161" t="s">
        <v>278</v>
      </c>
      <c r="C63" s="162"/>
      <c r="D63" s="161" t="s">
        <v>283</v>
      </c>
      <c r="E63" s="162"/>
      <c r="F63" s="163">
        <v>3</v>
      </c>
      <c r="G63" s="164"/>
      <c r="H63" s="165"/>
      <c r="I63" s="167">
        <v>0.1</v>
      </c>
      <c r="J63" s="156">
        <v>1</v>
      </c>
      <c r="K63" s="163">
        <f t="shared" si="0"/>
        <v>0.30000000000000004</v>
      </c>
      <c r="L63" s="165"/>
      <c r="N63" s="61" t="s">
        <v>97</v>
      </c>
    </row>
    <row r="64" spans="1:17" ht="26.25" x14ac:dyDescent="0.25">
      <c r="A64" s="168" t="s">
        <v>284</v>
      </c>
      <c r="B64" s="161" t="s">
        <v>204</v>
      </c>
      <c r="C64" s="162"/>
      <c r="D64" s="161" t="s">
        <v>285</v>
      </c>
      <c r="E64" s="162"/>
      <c r="F64" s="163">
        <v>2</v>
      </c>
      <c r="G64" s="164"/>
      <c r="H64" s="165"/>
      <c r="I64" s="167">
        <v>0.1</v>
      </c>
      <c r="J64" s="156">
        <v>1</v>
      </c>
      <c r="K64" s="163">
        <f t="shared" si="0"/>
        <v>0.2</v>
      </c>
      <c r="L64" s="165"/>
      <c r="N64" s="62" t="s">
        <v>98</v>
      </c>
      <c r="P64" s="54"/>
      <c r="Q64" s="55"/>
    </row>
    <row r="65" spans="1:14" ht="20.25" customHeight="1" x14ac:dyDescent="0.25">
      <c r="A65" s="208" t="s">
        <v>286</v>
      </c>
      <c r="B65" s="161" t="s">
        <v>212</v>
      </c>
      <c r="C65" s="162"/>
      <c r="D65" s="169" t="s">
        <v>287</v>
      </c>
      <c r="E65" s="170"/>
      <c r="F65" s="163">
        <v>2</v>
      </c>
      <c r="G65" s="164"/>
      <c r="H65" s="165"/>
      <c r="I65" s="160">
        <v>0.1</v>
      </c>
      <c r="J65" s="132">
        <v>1</v>
      </c>
      <c r="K65" s="163">
        <f t="shared" si="0"/>
        <v>0.2</v>
      </c>
      <c r="L65" s="165"/>
      <c r="N65" s="61" t="s">
        <v>99</v>
      </c>
    </row>
    <row r="66" spans="1:14" x14ac:dyDescent="0.25">
      <c r="A66" s="172" t="s">
        <v>288</v>
      </c>
      <c r="B66" s="173" t="s">
        <v>217</v>
      </c>
      <c r="C66" s="174"/>
      <c r="D66" s="175" t="s">
        <v>289</v>
      </c>
      <c r="E66" s="176"/>
      <c r="F66" s="163">
        <v>10</v>
      </c>
      <c r="G66" s="164"/>
      <c r="H66" s="165"/>
      <c r="I66" s="177">
        <v>0.55500000000000005</v>
      </c>
      <c r="J66" s="178">
        <v>1</v>
      </c>
      <c r="K66" s="163">
        <f t="shared" si="0"/>
        <v>5.5500000000000007</v>
      </c>
      <c r="L66" s="165"/>
      <c r="N66" s="61" t="s">
        <v>147</v>
      </c>
    </row>
    <row r="67" spans="1:14" ht="15" customHeight="1" x14ac:dyDescent="0.25">
      <c r="A67" s="179" t="s">
        <v>290</v>
      </c>
      <c r="B67" s="173" t="s">
        <v>212</v>
      </c>
      <c r="C67" s="174"/>
      <c r="D67" s="180" t="s">
        <v>291</v>
      </c>
      <c r="E67" s="181"/>
      <c r="F67" s="163">
        <v>5</v>
      </c>
      <c r="G67" s="164"/>
      <c r="H67" s="165"/>
      <c r="I67" s="177"/>
      <c r="J67" s="178">
        <v>1</v>
      </c>
      <c r="K67" s="163">
        <f t="shared" si="0"/>
        <v>0</v>
      </c>
      <c r="L67" s="165"/>
      <c r="N67" s="62" t="s">
        <v>148</v>
      </c>
    </row>
    <row r="68" spans="1:14" ht="15" customHeight="1" x14ac:dyDescent="0.25">
      <c r="A68" s="172" t="s">
        <v>292</v>
      </c>
      <c r="B68" s="173" t="s">
        <v>293</v>
      </c>
      <c r="C68" s="174"/>
      <c r="D68" s="182" t="s">
        <v>294</v>
      </c>
      <c r="E68" s="183"/>
      <c r="F68" s="163">
        <v>100</v>
      </c>
      <c r="G68" s="164"/>
      <c r="H68" s="165"/>
      <c r="I68" s="177">
        <v>0.17399999999999999</v>
      </c>
      <c r="J68" s="178">
        <v>1</v>
      </c>
      <c r="K68" s="163">
        <f t="shared" si="0"/>
        <v>17.399999999999999</v>
      </c>
      <c r="L68" s="165"/>
      <c r="N68" s="61" t="s">
        <v>100</v>
      </c>
    </row>
    <row r="69" spans="1:14" x14ac:dyDescent="0.25">
      <c r="A69" s="172" t="s">
        <v>295</v>
      </c>
      <c r="B69" s="173" t="s">
        <v>217</v>
      </c>
      <c r="C69" s="174"/>
      <c r="D69" s="175" t="s">
        <v>296</v>
      </c>
      <c r="E69" s="176"/>
      <c r="F69" s="163">
        <v>3</v>
      </c>
      <c r="G69" s="164"/>
      <c r="H69" s="165"/>
      <c r="I69" s="177">
        <v>0.64900000000000002</v>
      </c>
      <c r="J69" s="178">
        <v>1</v>
      </c>
      <c r="K69" s="163">
        <f t="shared" si="0"/>
        <v>1.9470000000000001</v>
      </c>
      <c r="L69" s="165"/>
      <c r="N69" s="62" t="s">
        <v>188</v>
      </c>
    </row>
    <row r="70" spans="1:14" ht="19.5" customHeight="1" x14ac:dyDescent="0.25">
      <c r="A70" s="172" t="s">
        <v>297</v>
      </c>
      <c r="B70" s="173" t="s">
        <v>217</v>
      </c>
      <c r="C70" s="174"/>
      <c r="D70" s="175" t="s">
        <v>298</v>
      </c>
      <c r="E70" s="176"/>
      <c r="F70" s="163">
        <v>10</v>
      </c>
      <c r="G70" s="164"/>
      <c r="H70" s="165"/>
      <c r="I70" s="177">
        <v>0.55400000000000005</v>
      </c>
      <c r="J70" s="178">
        <v>1</v>
      </c>
      <c r="K70" s="163">
        <f t="shared" si="0"/>
        <v>5.5400000000000009</v>
      </c>
      <c r="L70" s="165"/>
      <c r="N70" s="61" t="s">
        <v>101</v>
      </c>
    </row>
    <row r="71" spans="1:14" ht="15" customHeight="1" x14ac:dyDescent="0.25">
      <c r="A71" s="172" t="s">
        <v>299</v>
      </c>
      <c r="B71" s="173" t="s">
        <v>300</v>
      </c>
      <c r="C71" s="174"/>
      <c r="D71" s="175" t="s">
        <v>301</v>
      </c>
      <c r="E71" s="176"/>
      <c r="F71" s="163">
        <v>3</v>
      </c>
      <c r="G71" s="164"/>
      <c r="H71" s="165"/>
      <c r="I71" s="177">
        <v>0.312</v>
      </c>
      <c r="J71" s="178">
        <v>1</v>
      </c>
      <c r="K71" s="163">
        <f t="shared" si="0"/>
        <v>0.93599999999999994</v>
      </c>
      <c r="L71" s="165"/>
      <c r="N71" s="62" t="s">
        <v>102</v>
      </c>
    </row>
    <row r="72" spans="1:14" ht="15" customHeight="1" x14ac:dyDescent="0.25">
      <c r="A72" s="172" t="s">
        <v>302</v>
      </c>
      <c r="B72" s="173" t="s">
        <v>303</v>
      </c>
      <c r="C72" s="174"/>
      <c r="D72" s="175" t="s">
        <v>304</v>
      </c>
      <c r="E72" s="184"/>
      <c r="F72" s="163">
        <v>6</v>
      </c>
      <c r="G72" s="164"/>
      <c r="H72" s="165"/>
      <c r="I72" s="185">
        <v>0.31</v>
      </c>
      <c r="J72" s="178">
        <v>1</v>
      </c>
      <c r="K72" s="163">
        <f t="shared" si="0"/>
        <v>1.8599999999999999</v>
      </c>
      <c r="L72" s="165"/>
      <c r="N72" s="61" t="s">
        <v>149</v>
      </c>
    </row>
    <row r="73" spans="1:14" ht="15" customHeight="1" x14ac:dyDescent="0.25">
      <c r="A73" s="172" t="s">
        <v>305</v>
      </c>
      <c r="B73" s="173" t="s">
        <v>306</v>
      </c>
      <c r="C73" s="174"/>
      <c r="D73" s="175" t="s">
        <v>307</v>
      </c>
      <c r="E73" s="184"/>
      <c r="F73" s="186">
        <v>7</v>
      </c>
      <c r="G73" s="187"/>
      <c r="H73" s="188"/>
      <c r="I73" s="177">
        <v>0.307</v>
      </c>
      <c r="J73" s="178">
        <v>1</v>
      </c>
      <c r="K73" s="163">
        <f t="shared" si="0"/>
        <v>2.149</v>
      </c>
      <c r="L73" s="165"/>
      <c r="N73" s="61" t="s">
        <v>150</v>
      </c>
    </row>
    <row r="74" spans="1:14" ht="15" customHeight="1" x14ac:dyDescent="0.25">
      <c r="A74" s="172" t="s">
        <v>308</v>
      </c>
      <c r="B74" s="173" t="s">
        <v>217</v>
      </c>
      <c r="C74" s="174"/>
      <c r="D74" s="175" t="s">
        <v>309</v>
      </c>
      <c r="E74" s="184"/>
      <c r="F74" s="163">
        <v>1</v>
      </c>
      <c r="G74" s="164"/>
      <c r="H74" s="165"/>
      <c r="I74" s="177">
        <v>0.313</v>
      </c>
      <c r="J74" s="178">
        <v>1</v>
      </c>
      <c r="K74" s="163">
        <f t="shared" si="0"/>
        <v>0.313</v>
      </c>
      <c r="L74" s="165"/>
      <c r="N74" s="61" t="s">
        <v>103</v>
      </c>
    </row>
    <row r="75" spans="1:14" x14ac:dyDescent="0.25">
      <c r="A75" s="189" t="s">
        <v>310</v>
      </c>
      <c r="B75" s="190" t="s">
        <v>212</v>
      </c>
      <c r="C75" s="174"/>
      <c r="D75" s="159" t="s">
        <v>311</v>
      </c>
      <c r="E75" s="159"/>
      <c r="F75" s="163">
        <v>5</v>
      </c>
      <c r="G75" s="164"/>
      <c r="H75" s="165"/>
      <c r="I75" s="191">
        <v>0.3</v>
      </c>
      <c r="J75" s="178">
        <v>1</v>
      </c>
      <c r="K75" s="163">
        <f t="shared" si="0"/>
        <v>1.5</v>
      </c>
      <c r="L75" s="165"/>
      <c r="N75" s="62" t="s">
        <v>104</v>
      </c>
    </row>
    <row r="76" spans="1:14" x14ac:dyDescent="0.25">
      <c r="A76" s="172" t="s">
        <v>312</v>
      </c>
      <c r="B76" s="173" t="s">
        <v>313</v>
      </c>
      <c r="C76" s="174"/>
      <c r="D76" s="159" t="s">
        <v>314</v>
      </c>
      <c r="E76" s="159"/>
      <c r="F76" s="163">
        <v>100</v>
      </c>
      <c r="G76" s="164"/>
      <c r="H76" s="165"/>
      <c r="I76" s="191">
        <v>0.19400000000000001</v>
      </c>
      <c r="J76" s="178">
        <v>1</v>
      </c>
      <c r="K76" s="163">
        <f t="shared" si="0"/>
        <v>19.400000000000002</v>
      </c>
      <c r="L76" s="165"/>
      <c r="N76" s="61" t="s">
        <v>105</v>
      </c>
    </row>
    <row r="77" spans="1:14" x14ac:dyDescent="0.25">
      <c r="A77" s="192">
        <v>1711026</v>
      </c>
      <c r="B77" s="190" t="s">
        <v>204</v>
      </c>
      <c r="C77" s="174"/>
      <c r="D77" s="159" t="s">
        <v>315</v>
      </c>
      <c r="E77" s="159"/>
      <c r="F77" s="163">
        <v>2</v>
      </c>
      <c r="G77" s="164"/>
      <c r="H77" s="165"/>
      <c r="I77" s="191">
        <v>1.91</v>
      </c>
      <c r="J77" s="178">
        <v>1</v>
      </c>
      <c r="K77" s="163">
        <f t="shared" si="0"/>
        <v>3.82</v>
      </c>
      <c r="L77" s="165"/>
      <c r="N77" s="61" t="s">
        <v>106</v>
      </c>
    </row>
    <row r="78" spans="1:14" x14ac:dyDescent="0.25">
      <c r="A78" s="193" t="s">
        <v>316</v>
      </c>
      <c r="B78" s="190" t="s">
        <v>212</v>
      </c>
      <c r="C78" s="174"/>
      <c r="D78" s="159" t="s">
        <v>317</v>
      </c>
      <c r="E78" s="159"/>
      <c r="F78" s="190">
        <v>10</v>
      </c>
      <c r="G78" s="194"/>
      <c r="H78" s="195"/>
      <c r="I78" s="191">
        <v>0.05</v>
      </c>
      <c r="J78" s="178">
        <v>1</v>
      </c>
      <c r="K78" s="163">
        <f t="shared" si="0"/>
        <v>0.5</v>
      </c>
      <c r="L78" s="165"/>
      <c r="N78" s="61" t="s">
        <v>54</v>
      </c>
    </row>
    <row r="79" spans="1:14" x14ac:dyDescent="0.25">
      <c r="A79" s="193" t="s">
        <v>318</v>
      </c>
      <c r="B79" s="173" t="s">
        <v>237</v>
      </c>
      <c r="C79" s="174"/>
      <c r="D79" s="159" t="s">
        <v>319</v>
      </c>
      <c r="E79" s="159"/>
      <c r="F79" s="196">
        <v>2</v>
      </c>
      <c r="G79" s="197"/>
      <c r="H79" s="165"/>
      <c r="I79" s="191">
        <v>0.185</v>
      </c>
      <c r="J79" s="178">
        <v>1</v>
      </c>
      <c r="K79" s="163">
        <f t="shared" si="0"/>
        <v>0.37</v>
      </c>
      <c r="L79" s="165"/>
      <c r="N79" s="61" t="s">
        <v>107</v>
      </c>
    </row>
    <row r="80" spans="1:14" x14ac:dyDescent="0.25">
      <c r="A80" s="172" t="s">
        <v>320</v>
      </c>
      <c r="B80" s="173" t="s">
        <v>217</v>
      </c>
      <c r="C80" s="174"/>
      <c r="D80" s="159" t="s">
        <v>321</v>
      </c>
      <c r="E80" s="159"/>
      <c r="F80" s="196">
        <v>5</v>
      </c>
      <c r="G80" s="197"/>
      <c r="H80" s="165"/>
      <c r="I80" s="191">
        <v>0.35799999999999998</v>
      </c>
      <c r="J80" s="178">
        <v>1</v>
      </c>
      <c r="K80" s="163">
        <f t="shared" si="0"/>
        <v>1.79</v>
      </c>
      <c r="L80" s="165"/>
      <c r="N80" s="61" t="s">
        <v>55</v>
      </c>
    </row>
    <row r="81" spans="1:14" x14ac:dyDescent="0.25">
      <c r="A81" s="172" t="s">
        <v>322</v>
      </c>
      <c r="B81" s="190" t="s">
        <v>204</v>
      </c>
      <c r="C81" s="174"/>
      <c r="D81" s="159" t="s">
        <v>323</v>
      </c>
      <c r="E81" s="159"/>
      <c r="F81" s="196">
        <v>2</v>
      </c>
      <c r="G81" s="197"/>
      <c r="H81" s="165"/>
      <c r="I81" s="191">
        <v>3.35</v>
      </c>
      <c r="J81" s="178">
        <v>1</v>
      </c>
      <c r="K81" s="163">
        <f t="shared" si="0"/>
        <v>6.7</v>
      </c>
      <c r="L81" s="165"/>
      <c r="N81" s="61" t="s">
        <v>108</v>
      </c>
    </row>
    <row r="82" spans="1:14" x14ac:dyDescent="0.25">
      <c r="A82" s="198">
        <v>7847805100</v>
      </c>
      <c r="B82" s="159" t="s">
        <v>217</v>
      </c>
      <c r="C82" s="159"/>
      <c r="D82" s="199" t="s">
        <v>324</v>
      </c>
      <c r="E82" s="199"/>
      <c r="F82" s="200">
        <v>10</v>
      </c>
      <c r="G82" s="200"/>
      <c r="H82" s="200"/>
      <c r="I82" s="201">
        <v>0.05</v>
      </c>
      <c r="J82" s="178">
        <v>1</v>
      </c>
      <c r="K82" s="163">
        <f t="shared" si="0"/>
        <v>0.5</v>
      </c>
      <c r="L82" s="165"/>
      <c r="N82" s="62" t="s">
        <v>189</v>
      </c>
    </row>
    <row r="83" spans="1:14" ht="15" customHeight="1" x14ac:dyDescent="0.25">
      <c r="A83" s="198" t="s">
        <v>325</v>
      </c>
      <c r="B83" s="163" t="s">
        <v>217</v>
      </c>
      <c r="C83" s="165"/>
      <c r="D83" s="202" t="s">
        <v>326</v>
      </c>
      <c r="E83" s="203"/>
      <c r="F83" s="204">
        <v>10</v>
      </c>
      <c r="G83" s="205"/>
      <c r="H83" s="206"/>
      <c r="I83" s="201">
        <v>0.31</v>
      </c>
      <c r="J83" s="178">
        <v>1</v>
      </c>
      <c r="K83" s="163">
        <f t="shared" si="0"/>
        <v>3.1</v>
      </c>
      <c r="L83" s="165"/>
      <c r="N83" s="61" t="s">
        <v>65</v>
      </c>
    </row>
    <row r="84" spans="1:14" ht="15" customHeight="1" x14ac:dyDescent="0.25">
      <c r="A84" s="198" t="s">
        <v>327</v>
      </c>
      <c r="B84" s="163" t="s">
        <v>217</v>
      </c>
      <c r="C84" s="165"/>
      <c r="D84" s="202" t="s">
        <v>328</v>
      </c>
      <c r="E84" s="203"/>
      <c r="F84" s="204">
        <v>1</v>
      </c>
      <c r="G84" s="205"/>
      <c r="H84" s="206"/>
      <c r="I84" s="201">
        <v>0.40100000000000002</v>
      </c>
      <c r="J84" s="178">
        <v>1</v>
      </c>
      <c r="K84" s="163">
        <f t="shared" si="0"/>
        <v>0.40100000000000002</v>
      </c>
      <c r="L84" s="165"/>
      <c r="N84" s="61" t="s">
        <v>151</v>
      </c>
    </row>
    <row r="85" spans="1:14" x14ac:dyDescent="0.25">
      <c r="A85" s="172" t="s">
        <v>329</v>
      </c>
      <c r="B85" s="190" t="s">
        <v>237</v>
      </c>
      <c r="C85" s="195"/>
      <c r="D85" s="163" t="s">
        <v>330</v>
      </c>
      <c r="E85" s="165"/>
      <c r="F85" s="196">
        <v>5</v>
      </c>
      <c r="G85" s="197"/>
      <c r="H85" s="207"/>
      <c r="I85" s="191">
        <v>0.191</v>
      </c>
      <c r="J85" s="178">
        <v>1</v>
      </c>
      <c r="K85" s="163">
        <f t="shared" ref="K85:K86" si="1" xml:space="preserve"> I85*F85</f>
        <v>0.95500000000000007</v>
      </c>
      <c r="L85" s="165"/>
      <c r="N85" s="62" t="s">
        <v>152</v>
      </c>
    </row>
    <row r="86" spans="1:14" x14ac:dyDescent="0.25">
      <c r="A86" s="172" t="s">
        <v>331</v>
      </c>
      <c r="B86" s="173" t="s">
        <v>217</v>
      </c>
      <c r="C86" s="174"/>
      <c r="D86" s="175" t="s">
        <v>332</v>
      </c>
      <c r="E86" s="176"/>
      <c r="F86" s="163">
        <v>1</v>
      </c>
      <c r="G86" s="164"/>
      <c r="H86" s="165"/>
      <c r="I86" s="177">
        <v>7.49</v>
      </c>
      <c r="J86" s="178">
        <v>1</v>
      </c>
      <c r="K86" s="163">
        <f t="shared" si="1"/>
        <v>7.49</v>
      </c>
      <c r="L86" s="165"/>
      <c r="N86" s="62" t="s">
        <v>153</v>
      </c>
    </row>
    <row r="87" spans="1:14" ht="15.75" x14ac:dyDescent="0.25">
      <c r="A87" s="21" t="s">
        <v>24</v>
      </c>
      <c r="B87" s="22" t="s">
        <v>21</v>
      </c>
      <c r="C87" s="23" t="s">
        <v>25</v>
      </c>
      <c r="D87" s="79" t="s">
        <v>26</v>
      </c>
      <c r="E87" s="80"/>
      <c r="F87" s="24" t="s">
        <v>27</v>
      </c>
      <c r="G87" s="25"/>
      <c r="H87" s="25"/>
      <c r="I87" s="25"/>
      <c r="J87" s="26"/>
      <c r="K87" s="26"/>
      <c r="L87" s="56"/>
      <c r="N87" s="61" t="s">
        <v>48</v>
      </c>
    </row>
    <row r="88" spans="1:14" ht="18.75" x14ac:dyDescent="0.25">
      <c r="A88" s="81">
        <f>SUM(K19:L86)</f>
        <v>288.608</v>
      </c>
      <c r="B88" s="28">
        <v>1</v>
      </c>
      <c r="C88" s="29">
        <v>0.2</v>
      </c>
      <c r="D88" s="84">
        <f>A88*C88</f>
        <v>57.721600000000002</v>
      </c>
      <c r="E88" s="85"/>
      <c r="F88" s="30"/>
      <c r="G88" s="86" t="s">
        <v>28</v>
      </c>
      <c r="H88" s="86"/>
      <c r="I88" s="87"/>
      <c r="J88" s="20"/>
      <c r="K88" s="66">
        <f>A88</f>
        <v>288.608</v>
      </c>
      <c r="L88" s="67"/>
      <c r="N88" s="61" t="s">
        <v>109</v>
      </c>
    </row>
    <row r="89" spans="1:14" ht="18.75" x14ac:dyDescent="0.25">
      <c r="A89" s="82"/>
      <c r="B89" s="28">
        <v>2</v>
      </c>
      <c r="C89" s="31">
        <v>5.5E-2</v>
      </c>
      <c r="D89" s="88"/>
      <c r="E89" s="89"/>
      <c r="F89" s="30"/>
      <c r="G89" s="86" t="s">
        <v>29</v>
      </c>
      <c r="H89" s="86"/>
      <c r="I89" s="87"/>
      <c r="J89" s="32" t="s">
        <v>30</v>
      </c>
      <c r="K89" s="66">
        <f>D88</f>
        <v>57.721600000000002</v>
      </c>
      <c r="L89" s="67"/>
      <c r="N89" s="61" t="s">
        <v>154</v>
      </c>
    </row>
    <row r="90" spans="1:14" ht="15.75" x14ac:dyDescent="0.25">
      <c r="A90" s="83"/>
      <c r="B90" s="33">
        <v>3</v>
      </c>
      <c r="C90" s="34">
        <v>0</v>
      </c>
      <c r="D90" s="68"/>
      <c r="E90" s="69"/>
      <c r="F90" s="35"/>
      <c r="G90" s="27"/>
      <c r="H90" s="27"/>
      <c r="I90" s="27"/>
      <c r="J90" s="32" t="s">
        <v>31</v>
      </c>
      <c r="K90" s="70"/>
      <c r="L90" s="67"/>
      <c r="N90" s="61" t="s">
        <v>155</v>
      </c>
    </row>
    <row r="91" spans="1:14" ht="15.75" thickBot="1" x14ac:dyDescent="0.3">
      <c r="A91" s="36"/>
      <c r="B91" s="37"/>
      <c r="C91" s="37"/>
      <c r="D91" s="37"/>
      <c r="E91" s="38"/>
      <c r="F91" s="35"/>
      <c r="G91" s="27"/>
      <c r="H91" s="27"/>
      <c r="I91" s="27"/>
      <c r="J91" s="32" t="s">
        <v>32</v>
      </c>
      <c r="K91" s="71"/>
      <c r="L91" s="72"/>
      <c r="N91" s="62" t="s">
        <v>190</v>
      </c>
    </row>
    <row r="92" spans="1:14" ht="19.5" thickBot="1" x14ac:dyDescent="0.3">
      <c r="A92" s="39" t="s">
        <v>33</v>
      </c>
      <c r="B92" s="73"/>
      <c r="C92" s="74"/>
      <c r="D92" s="74"/>
      <c r="E92" s="40"/>
      <c r="F92" s="75" t="s">
        <v>34</v>
      </c>
      <c r="G92" s="76"/>
      <c r="H92" s="76"/>
      <c r="I92" s="76"/>
      <c r="J92" s="41"/>
      <c r="K92" s="77">
        <f>SUM(K88+K89)</f>
        <v>346.32960000000003</v>
      </c>
      <c r="L92" s="78"/>
      <c r="N92" s="61" t="s">
        <v>110</v>
      </c>
    </row>
    <row r="93" spans="1:14" x14ac:dyDescent="0.25">
      <c r="N93" s="61" t="s">
        <v>53</v>
      </c>
    </row>
    <row r="94" spans="1:14" x14ac:dyDescent="0.25">
      <c r="A94" s="42" t="s">
        <v>35</v>
      </c>
      <c r="B94" s="57" t="s">
        <v>36</v>
      </c>
      <c r="C94" s="43"/>
      <c r="D94" s="43"/>
      <c r="E94" s="44"/>
      <c r="G94" t="s">
        <v>37</v>
      </c>
      <c r="J94" s="64"/>
      <c r="K94" s="64"/>
      <c r="L94" s="64"/>
      <c r="N94" s="61" t="s">
        <v>42</v>
      </c>
    </row>
    <row r="95" spans="1:14" x14ac:dyDescent="0.25">
      <c r="A95" s="58" t="s">
        <v>43</v>
      </c>
      <c r="C95" s="45"/>
      <c r="D95" s="45"/>
      <c r="E95" s="46"/>
      <c r="J95" s="65" t="s">
        <v>49</v>
      </c>
      <c r="K95" s="65"/>
      <c r="L95" s="65"/>
      <c r="N95" s="61" t="s">
        <v>112</v>
      </c>
    </row>
    <row r="96" spans="1:14" x14ac:dyDescent="0.25">
      <c r="A96" s="47" t="s">
        <v>38</v>
      </c>
      <c r="B96" s="48"/>
      <c r="C96" s="48"/>
      <c r="D96" s="48"/>
      <c r="E96" s="49"/>
      <c r="G96" t="s">
        <v>39</v>
      </c>
      <c r="J96" s="64"/>
      <c r="K96" s="64"/>
      <c r="L96" s="64"/>
      <c r="N96" s="62" t="s">
        <v>1</v>
      </c>
    </row>
    <row r="97" spans="1:14" x14ac:dyDescent="0.25">
      <c r="N97" s="62" t="s">
        <v>156</v>
      </c>
    </row>
    <row r="98" spans="1:14" ht="19.5" x14ac:dyDescent="0.25">
      <c r="A98" s="50" t="s">
        <v>40</v>
      </c>
      <c r="B98" s="57" t="s">
        <v>41</v>
      </c>
      <c r="C98" s="51"/>
      <c r="D98" s="51"/>
      <c r="E98" s="52"/>
      <c r="N98" s="61" t="s">
        <v>111</v>
      </c>
    </row>
    <row r="99" spans="1:14" x14ac:dyDescent="0.25">
      <c r="A99" s="58" t="s">
        <v>43</v>
      </c>
      <c r="B99" s="7"/>
      <c r="E99" s="53"/>
      <c r="N99" s="62" t="s">
        <v>157</v>
      </c>
    </row>
    <row r="100" spans="1:14" x14ac:dyDescent="0.25">
      <c r="A100" s="47" t="s">
        <v>38</v>
      </c>
      <c r="B100" s="48"/>
      <c r="C100" s="48"/>
      <c r="D100" s="48"/>
      <c r="E100" s="49"/>
      <c r="N100" s="63" t="s">
        <v>158</v>
      </c>
    </row>
    <row r="101" spans="1:14" x14ac:dyDescent="0.25">
      <c r="N101" s="63" t="s">
        <v>66</v>
      </c>
    </row>
    <row r="102" spans="1:14" x14ac:dyDescent="0.25">
      <c r="N102" s="63" t="s">
        <v>113</v>
      </c>
    </row>
    <row r="103" spans="1:14" x14ac:dyDescent="0.25">
      <c r="N103" s="63" t="s">
        <v>159</v>
      </c>
    </row>
    <row r="104" spans="1:14" x14ac:dyDescent="0.25">
      <c r="N104" s="63" t="s">
        <v>160</v>
      </c>
    </row>
    <row r="105" spans="1:14" x14ac:dyDescent="0.25">
      <c r="N105" s="63" t="s">
        <v>161</v>
      </c>
    </row>
    <row r="106" spans="1:14" x14ac:dyDescent="0.25">
      <c r="N106" s="63" t="s">
        <v>162</v>
      </c>
    </row>
    <row r="107" spans="1:14" x14ac:dyDescent="0.25">
      <c r="N107" s="63" t="s">
        <v>163</v>
      </c>
    </row>
    <row r="108" spans="1:14" x14ac:dyDescent="0.25">
      <c r="N108" s="63" t="s">
        <v>164</v>
      </c>
    </row>
    <row r="109" spans="1:14" x14ac:dyDescent="0.25">
      <c r="N109" s="63" t="s">
        <v>165</v>
      </c>
    </row>
    <row r="110" spans="1:14" x14ac:dyDescent="0.25">
      <c r="N110" s="63" t="s">
        <v>67</v>
      </c>
    </row>
    <row r="111" spans="1:14" ht="18" x14ac:dyDescent="0.25">
      <c r="N111" s="63" t="s">
        <v>191</v>
      </c>
    </row>
    <row r="112" spans="1:14" x14ac:dyDescent="0.25">
      <c r="N112" s="63" t="s">
        <v>114</v>
      </c>
    </row>
    <row r="113" spans="14:14" x14ac:dyDescent="0.25">
      <c r="N113" s="63" t="s">
        <v>166</v>
      </c>
    </row>
    <row r="114" spans="14:14" x14ac:dyDescent="0.25">
      <c r="N114" s="63" t="s">
        <v>68</v>
      </c>
    </row>
    <row r="115" spans="14:14" x14ac:dyDescent="0.25">
      <c r="N115" s="63" t="s">
        <v>115</v>
      </c>
    </row>
    <row r="116" spans="14:14" x14ac:dyDescent="0.25">
      <c r="N116" s="63" t="s">
        <v>116</v>
      </c>
    </row>
    <row r="117" spans="14:14" x14ac:dyDescent="0.25">
      <c r="N117" s="63" t="s">
        <v>167</v>
      </c>
    </row>
    <row r="118" spans="14:14" x14ac:dyDescent="0.25">
      <c r="N118" s="63" t="s">
        <v>117</v>
      </c>
    </row>
    <row r="119" spans="14:14" x14ac:dyDescent="0.25">
      <c r="N119" s="63" t="s">
        <v>168</v>
      </c>
    </row>
    <row r="120" spans="14:14" x14ac:dyDescent="0.25">
      <c r="N120" s="63" t="s">
        <v>69</v>
      </c>
    </row>
    <row r="121" spans="14:14" x14ac:dyDescent="0.25">
      <c r="N121" s="63" t="s">
        <v>118</v>
      </c>
    </row>
    <row r="122" spans="14:14" x14ac:dyDescent="0.25">
      <c r="N122" s="63" t="s">
        <v>169</v>
      </c>
    </row>
    <row r="123" spans="14:14" x14ac:dyDescent="0.25">
      <c r="N123" s="63" t="s">
        <v>170</v>
      </c>
    </row>
    <row r="124" spans="14:14" x14ac:dyDescent="0.25">
      <c r="N124" s="63" t="s">
        <v>119</v>
      </c>
    </row>
    <row r="125" spans="14:14" x14ac:dyDescent="0.25">
      <c r="N125" s="63" t="s">
        <v>171</v>
      </c>
    </row>
    <row r="126" spans="14:14" x14ac:dyDescent="0.25">
      <c r="N126" s="63" t="s">
        <v>120</v>
      </c>
    </row>
    <row r="127" spans="14:14" x14ac:dyDescent="0.25">
      <c r="N127" s="63" t="s">
        <v>121</v>
      </c>
    </row>
    <row r="128" spans="14:14" x14ac:dyDescent="0.25">
      <c r="N128" s="63" t="s">
        <v>172</v>
      </c>
    </row>
    <row r="129" spans="14:14" x14ac:dyDescent="0.25">
      <c r="N129" s="63" t="s">
        <v>122</v>
      </c>
    </row>
    <row r="130" spans="14:14" x14ac:dyDescent="0.25">
      <c r="N130" s="63" t="s">
        <v>123</v>
      </c>
    </row>
    <row r="131" spans="14:14" ht="18" x14ac:dyDescent="0.25">
      <c r="N131" s="63" t="s">
        <v>192</v>
      </c>
    </row>
    <row r="132" spans="14:14" x14ac:dyDescent="0.25">
      <c r="N132" s="63" t="s">
        <v>173</v>
      </c>
    </row>
    <row r="133" spans="14:14" x14ac:dyDescent="0.25">
      <c r="N133" s="63" t="s">
        <v>70</v>
      </c>
    </row>
    <row r="134" spans="14:14" x14ac:dyDescent="0.25">
      <c r="N134" s="63" t="s">
        <v>127</v>
      </c>
    </row>
    <row r="135" spans="14:14" x14ac:dyDescent="0.25">
      <c r="N135" s="63" t="s">
        <v>124</v>
      </c>
    </row>
    <row r="136" spans="14:14" x14ac:dyDescent="0.25">
      <c r="N136" s="63" t="s">
        <v>125</v>
      </c>
    </row>
    <row r="137" spans="14:14" x14ac:dyDescent="0.25">
      <c r="N137" s="63" t="s">
        <v>71</v>
      </c>
    </row>
    <row r="138" spans="14:14" x14ac:dyDescent="0.25">
      <c r="N138" s="63" t="s">
        <v>72</v>
      </c>
    </row>
    <row r="139" spans="14:14" x14ac:dyDescent="0.25">
      <c r="N139" s="63" t="s">
        <v>174</v>
      </c>
    </row>
    <row r="140" spans="14:14" x14ac:dyDescent="0.25">
      <c r="N140" s="63" t="s">
        <v>126</v>
      </c>
    </row>
    <row r="141" spans="14:14" x14ac:dyDescent="0.25">
      <c r="N141" s="63" t="s">
        <v>128</v>
      </c>
    </row>
    <row r="142" spans="14:14" x14ac:dyDescent="0.25">
      <c r="N142" s="63" t="s">
        <v>129</v>
      </c>
    </row>
    <row r="143" spans="14:14" x14ac:dyDescent="0.25">
      <c r="N143" s="63" t="s">
        <v>175</v>
      </c>
    </row>
    <row r="144" spans="14:14" x14ac:dyDescent="0.25">
      <c r="N144" s="63" t="s">
        <v>73</v>
      </c>
    </row>
    <row r="145" spans="14:14" x14ac:dyDescent="0.25">
      <c r="N145" s="63" t="s">
        <v>130</v>
      </c>
    </row>
    <row r="146" spans="14:14" x14ac:dyDescent="0.25">
      <c r="N146" s="63" t="s">
        <v>131</v>
      </c>
    </row>
    <row r="147" spans="14:14" x14ac:dyDescent="0.25">
      <c r="N147" s="63" t="s">
        <v>132</v>
      </c>
    </row>
    <row r="148" spans="14:14" x14ac:dyDescent="0.25">
      <c r="N148" s="63" t="s">
        <v>133</v>
      </c>
    </row>
    <row r="149" spans="14:14" x14ac:dyDescent="0.25">
      <c r="N149" s="63" t="s">
        <v>176</v>
      </c>
    </row>
    <row r="150" spans="14:14" x14ac:dyDescent="0.25">
      <c r="N150" s="63" t="s">
        <v>74</v>
      </c>
    </row>
    <row r="151" spans="14:14" x14ac:dyDescent="0.25">
      <c r="N151" s="63" t="s">
        <v>75</v>
      </c>
    </row>
    <row r="152" spans="14:14" x14ac:dyDescent="0.25">
      <c r="N152" s="63" t="s">
        <v>177</v>
      </c>
    </row>
    <row r="153" spans="14:14" x14ac:dyDescent="0.25">
      <c r="N153" s="63" t="s">
        <v>178</v>
      </c>
    </row>
    <row r="154" spans="14:14" x14ac:dyDescent="0.25">
      <c r="N154" s="63" t="s">
        <v>179</v>
      </c>
    </row>
    <row r="155" spans="14:14" x14ac:dyDescent="0.25">
      <c r="N155" s="63" t="s">
        <v>180</v>
      </c>
    </row>
    <row r="156" spans="14:14" ht="18" x14ac:dyDescent="0.25">
      <c r="N156" s="63" t="s">
        <v>181</v>
      </c>
    </row>
    <row r="157" spans="14:14" x14ac:dyDescent="0.25">
      <c r="N157" s="63" t="s">
        <v>182</v>
      </c>
    </row>
    <row r="158" spans="14:14" x14ac:dyDescent="0.25">
      <c r="N158" s="63" t="s">
        <v>76</v>
      </c>
    </row>
    <row r="159" spans="14:14" x14ac:dyDescent="0.25">
      <c r="N159" s="62" t="s">
        <v>183</v>
      </c>
    </row>
    <row r="160" spans="14:14" x14ac:dyDescent="0.25">
      <c r="N160" s="62" t="s">
        <v>184</v>
      </c>
    </row>
    <row r="161" spans="14:14" x14ac:dyDescent="0.25">
      <c r="N161" s="62" t="s">
        <v>185</v>
      </c>
    </row>
    <row r="162" spans="14:14" x14ac:dyDescent="0.25">
      <c r="N162" s="62" t="s">
        <v>186</v>
      </c>
    </row>
    <row r="163" spans="14:14" x14ac:dyDescent="0.25">
      <c r="N163" s="63"/>
    </row>
    <row r="164" spans="14:14" x14ac:dyDescent="0.25">
      <c r="N164" s="63"/>
    </row>
    <row r="165" spans="14:14" x14ac:dyDescent="0.25">
      <c r="N165" s="63"/>
    </row>
    <row r="166" spans="14:14" x14ac:dyDescent="0.25">
      <c r="N166" s="63"/>
    </row>
    <row r="167" spans="14:14" x14ac:dyDescent="0.25">
      <c r="N167" s="63"/>
    </row>
    <row r="168" spans="14:14" x14ac:dyDescent="0.25">
      <c r="N168" s="63"/>
    </row>
    <row r="169" spans="14:14" x14ac:dyDescent="0.25">
      <c r="N169" s="63"/>
    </row>
    <row r="170" spans="14:14" x14ac:dyDescent="0.25">
      <c r="N170" s="63"/>
    </row>
    <row r="171" spans="14:14" x14ac:dyDescent="0.25">
      <c r="N171" s="63"/>
    </row>
    <row r="172" spans="14:14" x14ac:dyDescent="0.25">
      <c r="N172" s="63"/>
    </row>
    <row r="173" spans="14:14" x14ac:dyDescent="0.25">
      <c r="N173" s="62"/>
    </row>
    <row r="174" spans="14:14" x14ac:dyDescent="0.25">
      <c r="N174" s="62"/>
    </row>
    <row r="175" spans="14:14" x14ac:dyDescent="0.25">
      <c r="N175" s="62"/>
    </row>
    <row r="176" spans="14:14" x14ac:dyDescent="0.25">
      <c r="N176" s="62"/>
    </row>
    <row r="177" spans="14:14" x14ac:dyDescent="0.25">
      <c r="N177" s="62"/>
    </row>
    <row r="178" spans="14:14" x14ac:dyDescent="0.25">
      <c r="N178" s="62"/>
    </row>
  </sheetData>
  <mergeCells count="307">
    <mergeCell ref="F21:H21"/>
    <mergeCell ref="F22:H22"/>
    <mergeCell ref="K22:L22"/>
    <mergeCell ref="K21:L21"/>
    <mergeCell ref="K27:L27"/>
    <mergeCell ref="K26:L26"/>
    <mergeCell ref="K25:L25"/>
    <mergeCell ref="K24:L24"/>
    <mergeCell ref="K23:L23"/>
    <mergeCell ref="F23:H23"/>
    <mergeCell ref="F24:H24"/>
    <mergeCell ref="F25:H25"/>
    <mergeCell ref="F26:H26"/>
    <mergeCell ref="F27:H27"/>
    <mergeCell ref="B86:C86"/>
    <mergeCell ref="D86:E86"/>
    <mergeCell ref="F86:H86"/>
    <mergeCell ref="K86:L86"/>
    <mergeCell ref="B20:C20"/>
    <mergeCell ref="B21:C21"/>
    <mergeCell ref="B22:C22"/>
    <mergeCell ref="B23:C23"/>
    <mergeCell ref="B24:C24"/>
    <mergeCell ref="B25:C25"/>
    <mergeCell ref="B26:C26"/>
    <mergeCell ref="B27:C27"/>
    <mergeCell ref="F20:H20"/>
    <mergeCell ref="K20:L20"/>
    <mergeCell ref="B85:C85"/>
    <mergeCell ref="D85:E85"/>
    <mergeCell ref="F85:H85"/>
    <mergeCell ref="K85:L85"/>
    <mergeCell ref="B66:C66"/>
    <mergeCell ref="D66:E66"/>
    <mergeCell ref="F66:H66"/>
    <mergeCell ref="K66:L66"/>
    <mergeCell ref="B83:C83"/>
    <mergeCell ref="D83:E83"/>
    <mergeCell ref="F83:H83"/>
    <mergeCell ref="K83:L83"/>
    <mergeCell ref="B84:C84"/>
    <mergeCell ref="D84:E84"/>
    <mergeCell ref="F84:H84"/>
    <mergeCell ref="K84:L84"/>
    <mergeCell ref="B81:C81"/>
    <mergeCell ref="D81:E81"/>
    <mergeCell ref="F81:H81"/>
    <mergeCell ref="K81:L81"/>
    <mergeCell ref="B82:C82"/>
    <mergeCell ref="D82:E82"/>
    <mergeCell ref="F82:H82"/>
    <mergeCell ref="K82:L82"/>
    <mergeCell ref="B79:C79"/>
    <mergeCell ref="D79:E79"/>
    <mergeCell ref="F79:H79"/>
    <mergeCell ref="K79:L79"/>
    <mergeCell ref="B80:C80"/>
    <mergeCell ref="D80:E80"/>
    <mergeCell ref="F80:H80"/>
    <mergeCell ref="K80:L80"/>
    <mergeCell ref="B77:C77"/>
    <mergeCell ref="D77:E77"/>
    <mergeCell ref="F77:H77"/>
    <mergeCell ref="K77:L77"/>
    <mergeCell ref="B78:C78"/>
    <mergeCell ref="D78:E78"/>
    <mergeCell ref="F78:H78"/>
    <mergeCell ref="K78:L78"/>
    <mergeCell ref="B75:C75"/>
    <mergeCell ref="D75:E75"/>
    <mergeCell ref="F75:H75"/>
    <mergeCell ref="K75:L75"/>
    <mergeCell ref="B76:C76"/>
    <mergeCell ref="D76:E76"/>
    <mergeCell ref="F76:H76"/>
    <mergeCell ref="K76:L76"/>
    <mergeCell ref="B73:C73"/>
    <mergeCell ref="D73:E73"/>
    <mergeCell ref="F73:H73"/>
    <mergeCell ref="K73:L73"/>
    <mergeCell ref="B74:C74"/>
    <mergeCell ref="D74:E74"/>
    <mergeCell ref="F74:H74"/>
    <mergeCell ref="K74:L74"/>
    <mergeCell ref="B71:C71"/>
    <mergeCell ref="D71:E71"/>
    <mergeCell ref="F71:H71"/>
    <mergeCell ref="K71:L71"/>
    <mergeCell ref="B72:C72"/>
    <mergeCell ref="D72:E72"/>
    <mergeCell ref="F72:H72"/>
    <mergeCell ref="K72:L72"/>
    <mergeCell ref="B69:C69"/>
    <mergeCell ref="D69:E69"/>
    <mergeCell ref="F69:H69"/>
    <mergeCell ref="K69:L69"/>
    <mergeCell ref="B70:C70"/>
    <mergeCell ref="D70:E70"/>
    <mergeCell ref="F70:H70"/>
    <mergeCell ref="K70:L70"/>
    <mergeCell ref="B67:C67"/>
    <mergeCell ref="D67:E67"/>
    <mergeCell ref="F67:H67"/>
    <mergeCell ref="K67:L67"/>
    <mergeCell ref="B68:C68"/>
    <mergeCell ref="D68:E68"/>
    <mergeCell ref="F68:H68"/>
    <mergeCell ref="K68:L68"/>
    <mergeCell ref="B49:C49"/>
    <mergeCell ref="D49:E49"/>
    <mergeCell ref="F49:H49"/>
    <mergeCell ref="K49:L49"/>
    <mergeCell ref="K47:L47"/>
    <mergeCell ref="B48:C48"/>
    <mergeCell ref="D48:E48"/>
    <mergeCell ref="F48:H48"/>
    <mergeCell ref="K48:L48"/>
    <mergeCell ref="D44:E44"/>
    <mergeCell ref="D45:E45"/>
    <mergeCell ref="K45:L45"/>
    <mergeCell ref="D46:E46"/>
    <mergeCell ref="K46:L46"/>
    <mergeCell ref="B64:C64"/>
    <mergeCell ref="D64:E64"/>
    <mergeCell ref="F64:H64"/>
    <mergeCell ref="K64:L64"/>
    <mergeCell ref="B65:C65"/>
    <mergeCell ref="D65:E65"/>
    <mergeCell ref="F65:H65"/>
    <mergeCell ref="K65:L65"/>
    <mergeCell ref="B62:C62"/>
    <mergeCell ref="D62:E62"/>
    <mergeCell ref="F62:H62"/>
    <mergeCell ref="K62:L62"/>
    <mergeCell ref="B63:C63"/>
    <mergeCell ref="D63:E63"/>
    <mergeCell ref="F63:H63"/>
    <mergeCell ref="K63:L63"/>
    <mergeCell ref="B60:C60"/>
    <mergeCell ref="D60:E60"/>
    <mergeCell ref="F60:H60"/>
    <mergeCell ref="K60:L60"/>
    <mergeCell ref="B61:C61"/>
    <mergeCell ref="D61:E61"/>
    <mergeCell ref="F61:H61"/>
    <mergeCell ref="K61:L61"/>
    <mergeCell ref="B58:C58"/>
    <mergeCell ref="D58:E58"/>
    <mergeCell ref="F58:H58"/>
    <mergeCell ref="K58:L58"/>
    <mergeCell ref="B59:C59"/>
    <mergeCell ref="D59:E59"/>
    <mergeCell ref="F59:H59"/>
    <mergeCell ref="K59:L59"/>
    <mergeCell ref="B56:C56"/>
    <mergeCell ref="D56:E56"/>
    <mergeCell ref="F56:H56"/>
    <mergeCell ref="K56:L56"/>
    <mergeCell ref="B57:C57"/>
    <mergeCell ref="D57:E57"/>
    <mergeCell ref="F57:H57"/>
    <mergeCell ref="K57:L57"/>
    <mergeCell ref="B54:C54"/>
    <mergeCell ref="D54:E54"/>
    <mergeCell ref="F54:H54"/>
    <mergeCell ref="K54:L54"/>
    <mergeCell ref="B55:C55"/>
    <mergeCell ref="D55:E55"/>
    <mergeCell ref="F55:H55"/>
    <mergeCell ref="K55:L55"/>
    <mergeCell ref="B52:C52"/>
    <mergeCell ref="D52:E52"/>
    <mergeCell ref="F52:H52"/>
    <mergeCell ref="K52:L52"/>
    <mergeCell ref="B53:C53"/>
    <mergeCell ref="D53:E53"/>
    <mergeCell ref="F53:H53"/>
    <mergeCell ref="K53:L53"/>
    <mergeCell ref="B50:C50"/>
    <mergeCell ref="D50:E50"/>
    <mergeCell ref="F50:H50"/>
    <mergeCell ref="K50:L50"/>
    <mergeCell ref="B51:C51"/>
    <mergeCell ref="D51:E51"/>
    <mergeCell ref="F51:H51"/>
    <mergeCell ref="K51:L51"/>
    <mergeCell ref="F45:H45"/>
    <mergeCell ref="B46:C46"/>
    <mergeCell ref="F46:H46"/>
    <mergeCell ref="B47:C47"/>
    <mergeCell ref="F47:H47"/>
    <mergeCell ref="D47:E47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30:C30"/>
    <mergeCell ref="D30:E30"/>
    <mergeCell ref="B31:C31"/>
    <mergeCell ref="D31:E31"/>
    <mergeCell ref="B32:C32"/>
    <mergeCell ref="D32:E32"/>
    <mergeCell ref="B19:C19"/>
    <mergeCell ref="D19:E19"/>
    <mergeCell ref="B28:C28"/>
    <mergeCell ref="D28:E28"/>
    <mergeCell ref="B29:C29"/>
    <mergeCell ref="D29:E29"/>
    <mergeCell ref="D20:E20"/>
    <mergeCell ref="D21:E21"/>
    <mergeCell ref="D22:E22"/>
    <mergeCell ref="D23:E23"/>
    <mergeCell ref="D24:E24"/>
    <mergeCell ref="D25:E25"/>
    <mergeCell ref="D26:E26"/>
    <mergeCell ref="D27:E27"/>
    <mergeCell ref="F40:H40"/>
    <mergeCell ref="K40:L40"/>
    <mergeCell ref="F38:H38"/>
    <mergeCell ref="K38:L38"/>
    <mergeCell ref="F39:H39"/>
    <mergeCell ref="K39:L39"/>
    <mergeCell ref="F32:H32"/>
    <mergeCell ref="K32:L32"/>
    <mergeCell ref="F33:H33"/>
    <mergeCell ref="K33:L33"/>
    <mergeCell ref="A11:C11"/>
    <mergeCell ref="E11:G11"/>
    <mergeCell ref="I11:L11"/>
    <mergeCell ref="B15:C15"/>
    <mergeCell ref="B17:C17"/>
    <mergeCell ref="I17:L17"/>
    <mergeCell ref="K36:L36"/>
    <mergeCell ref="F37:H37"/>
    <mergeCell ref="K37:L37"/>
    <mergeCell ref="A4:C5"/>
    <mergeCell ref="B13:C13"/>
    <mergeCell ref="F13:H13"/>
    <mergeCell ref="J13:L13"/>
    <mergeCell ref="A6:C6"/>
    <mergeCell ref="E6:L6"/>
    <mergeCell ref="A7:C7"/>
    <mergeCell ref="A8:C8"/>
    <mergeCell ref="E8:L9"/>
    <mergeCell ref="A9:C9"/>
    <mergeCell ref="A10:C10"/>
    <mergeCell ref="E10:L10"/>
    <mergeCell ref="F35:H35"/>
    <mergeCell ref="K35:L35"/>
    <mergeCell ref="F19:H19"/>
    <mergeCell ref="K19:L19"/>
    <mergeCell ref="F28:H28"/>
    <mergeCell ref="K28:L28"/>
    <mergeCell ref="F29:H29"/>
    <mergeCell ref="K29:L29"/>
    <mergeCell ref="F30:H30"/>
    <mergeCell ref="K30:L30"/>
    <mergeCell ref="F36:H36"/>
    <mergeCell ref="F31:H31"/>
    <mergeCell ref="K31:L31"/>
    <mergeCell ref="F34:H34"/>
    <mergeCell ref="K34:L34"/>
    <mergeCell ref="B33:C33"/>
    <mergeCell ref="D33:E33"/>
    <mergeCell ref="B34:C34"/>
    <mergeCell ref="D34:E34"/>
    <mergeCell ref="F41:H41"/>
    <mergeCell ref="K41:L41"/>
    <mergeCell ref="F42:H42"/>
    <mergeCell ref="K42:L42"/>
    <mergeCell ref="B41:C41"/>
    <mergeCell ref="D41:E41"/>
    <mergeCell ref="B42:C42"/>
    <mergeCell ref="D42:E42"/>
    <mergeCell ref="F43:H43"/>
    <mergeCell ref="K43:L43"/>
    <mergeCell ref="D87:E87"/>
    <mergeCell ref="A88:A90"/>
    <mergeCell ref="D88:E88"/>
    <mergeCell ref="G88:I88"/>
    <mergeCell ref="K88:L88"/>
    <mergeCell ref="D89:E89"/>
    <mergeCell ref="G89:I89"/>
    <mergeCell ref="B43:C43"/>
    <mergeCell ref="D43:E43"/>
    <mergeCell ref="B44:C44"/>
    <mergeCell ref="F44:H44"/>
    <mergeCell ref="K44:L44"/>
    <mergeCell ref="B45:C45"/>
    <mergeCell ref="J94:L94"/>
    <mergeCell ref="J95:L95"/>
    <mergeCell ref="J96:L96"/>
    <mergeCell ref="K89:L89"/>
    <mergeCell ref="D90:E90"/>
    <mergeCell ref="K90:L90"/>
    <mergeCell ref="K91:L91"/>
    <mergeCell ref="B92:D92"/>
    <mergeCell ref="F92:I92"/>
    <mergeCell ref="K92:L92"/>
  </mergeCells>
  <dataValidations count="3">
    <dataValidation type="list" allowBlank="1" showInputMessage="1" showErrorMessage="1" sqref="E6" xr:uid="{00000000-0002-0000-0000-000000000000}">
      <formula1>entreprises</formula1>
    </dataValidation>
    <dataValidation type="list" allowBlank="1" showInputMessage="1" showErrorMessage="1" sqref="J2" xr:uid="{00000000-0002-0000-0000-000001000000}">
      <formula1>entité</formula1>
    </dataValidation>
    <dataValidation type="list" allowBlank="1" showInputMessage="1" showErrorMessage="1" sqref="I17:L17" xr:uid="{00000000-0002-0000-0000-000002000000}">
      <formula1>compte</formula1>
    </dataValidation>
  </dataValidations>
  <hyperlinks>
    <hyperlink ref="A28" r:id="rId1" xr:uid="{492E95B0-56C6-4764-88DB-9DB2067EC67A}"/>
    <hyperlink ref="A29" r:id="rId2" xr:uid="{6ECC798E-9946-4DD2-8E0F-F7289994E383}"/>
    <hyperlink ref="A30" r:id="rId3" xr:uid="{BCF0FD6A-4F0F-42B0-B89C-873CF5C28903}"/>
    <hyperlink ref="A31" r:id="rId4" xr:uid="{0100070D-93B8-4203-A47C-A4365279480A}"/>
    <hyperlink ref="A32" r:id="rId5" xr:uid="{B7EBEF24-2A3A-4A93-8BC6-046306ADA206}"/>
    <hyperlink ref="A33" r:id="rId6" xr:uid="{189ECE76-958C-4EE6-B1FC-4C37C945696A}"/>
    <hyperlink ref="A34" r:id="rId7" xr:uid="{82D8238C-F2DC-4362-B857-B869C9FCF7E6}"/>
    <hyperlink ref="A35" r:id="rId8" xr:uid="{55151009-B72F-48F2-B9A4-15D73C7F1087}"/>
    <hyperlink ref="A36" r:id="rId9" xr:uid="{369FD0AA-F35F-41DD-BB34-79A5C23EEBF0}"/>
    <hyperlink ref="A37" r:id="rId10" xr:uid="{C6F9E30D-C96D-4E5B-AAFE-ABF3A2C12BD6}"/>
    <hyperlink ref="A38" r:id="rId11" xr:uid="{CE4A7402-F313-45C4-AD9F-61D505478E30}"/>
    <hyperlink ref="A39" r:id="rId12" xr:uid="{97B8838E-E8A6-4D6A-82AA-E840DCF34E69}"/>
    <hyperlink ref="A40" r:id="rId13" xr:uid="{506DF377-0762-434A-A489-1DAEE383B554}"/>
    <hyperlink ref="A41" r:id="rId14" xr:uid="{A7D55327-3A68-47D4-BC48-598C46B9EC25}"/>
    <hyperlink ref="A42" r:id="rId15" xr:uid="{C59DBCAE-4758-4F47-8FEE-DA070DF5A1E6}"/>
    <hyperlink ref="A43" r:id="rId16" xr:uid="{EFD7219A-B106-4CE4-8EE7-B70F0F3704BD}"/>
    <hyperlink ref="A44" r:id="rId17" xr:uid="{62619C88-DE1C-46A7-ADAE-046BDDAA8C76}"/>
    <hyperlink ref="A45" r:id="rId18" xr:uid="{254BE972-C2D1-4C90-BD6C-10F89F16CADB}"/>
    <hyperlink ref="A47" r:id="rId19" xr:uid="{EDAC0AC7-E66B-4AA2-B678-4CFCE54FA7C3}"/>
    <hyperlink ref="A48" r:id="rId20" xr:uid="{53BA21D2-BFB9-4882-AAD0-46C5FF5C4C73}"/>
    <hyperlink ref="A49" r:id="rId21" xr:uid="{BD2FDF24-6B02-44C2-B4B0-10C3F354BB17}"/>
    <hyperlink ref="A50" r:id="rId22" xr:uid="{49E8FE65-5DB9-48DF-B4F1-2E7A1786DE3C}"/>
    <hyperlink ref="A51" r:id="rId23" xr:uid="{5DBD0097-A908-4659-8099-CE3883D85E16}"/>
    <hyperlink ref="A52" r:id="rId24" xr:uid="{9423B256-A67F-4FA5-B85A-57252019708D}"/>
    <hyperlink ref="A53" r:id="rId25" xr:uid="{F85BE61E-B5A3-418E-84ED-CAC2F4DB7FBE}"/>
    <hyperlink ref="A54" r:id="rId26" xr:uid="{26AFF2E6-9FA0-41A7-B1E6-597BE4092D5B}"/>
    <hyperlink ref="A46" r:id="rId27" xr:uid="{5EF7545F-0878-4FBD-A84F-D2F402840545}"/>
    <hyperlink ref="A55" r:id="rId28" xr:uid="{19C9CB60-E9EF-4736-80E8-42AB9ADCA54C}"/>
    <hyperlink ref="A56" r:id="rId29" xr:uid="{F79C3CC5-407F-4A7D-82D1-669CE960074D}"/>
    <hyperlink ref="A57" r:id="rId30" xr:uid="{BA6396EA-C2EA-43A4-AAE9-FD9BB93BAE46}"/>
    <hyperlink ref="A66" r:id="rId31" xr:uid="{2A7A6E5C-BB62-4970-8E5D-3BEE7A7C6442}"/>
    <hyperlink ref="A68" r:id="rId32" xr:uid="{AA3B8EEE-A944-4E1A-B921-7FB7AC828D51}"/>
    <hyperlink ref="A69" r:id="rId33" xr:uid="{88173052-EDFA-445B-86ED-C76176EA7719}"/>
    <hyperlink ref="A70" r:id="rId34" xr:uid="{AA00A2F8-8931-46EC-A278-BF5FBF0127F6}"/>
    <hyperlink ref="A71" r:id="rId35" xr:uid="{9F7570FA-7F84-4A11-BF6F-027D93DDF462}"/>
    <hyperlink ref="A67" r:id="rId36" xr:uid="{9EDF51C2-2F33-4A7E-BCD1-3FACC64C5048}"/>
    <hyperlink ref="A72" r:id="rId37" xr:uid="{54A0E2FA-06BB-4DFB-A4E7-0BC9C0573709}"/>
    <hyperlink ref="A73" r:id="rId38" xr:uid="{78CDE9E1-FA6E-46B5-89B8-882CB87C4664}"/>
    <hyperlink ref="A74" r:id="rId39" xr:uid="{8DECBFE8-23FE-459F-BBB4-C5F43A55688C}"/>
    <hyperlink ref="A79" r:id="rId40" xr:uid="{43EFA401-F7F6-4BE4-9C9B-0DC4550D6CD9}"/>
    <hyperlink ref="A80" r:id="rId41" xr:uid="{E2CA998A-768F-4468-8C58-71D504F25123}"/>
    <hyperlink ref="A82" r:id="rId42" display="https://fr.farnell.com/wurth-elektronik/7847805100/multilayer-inductor-1nh-0-3a-0603/dp/3780978" xr:uid="{0E3956A4-BF10-4C8C-9F07-0505919787B4}"/>
    <hyperlink ref="A83" r:id="rId43" xr:uid="{F5D9E36C-4CF1-41F2-A835-688597F43FFD}"/>
    <hyperlink ref="A84" r:id="rId44" xr:uid="{ADA31AE2-7179-4F06-B141-B50145D03C4D}"/>
    <hyperlink ref="A86" r:id="rId45" xr:uid="{EFE0A80E-09C7-4E52-87C6-32AC3BC0EF75}"/>
  </hyperlinks>
  <pageMargins left="0.31496062992125984" right="0.31496062992125984" top="0.35433070866141736" bottom="0.35433070866141736" header="0.31496062992125984" footer="0.31496062992125984"/>
  <pageSetup paperSize="9" orientation="portrait" r:id="rId46"/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7</vt:i4>
      </vt:variant>
    </vt:vector>
  </HeadingPairs>
  <TitlesOfParts>
    <vt:vector size="11" baseType="lpstr">
      <vt:lpstr>04_28_01</vt:lpstr>
      <vt:lpstr>Feuil1</vt:lpstr>
      <vt:lpstr>Feuil2</vt:lpstr>
      <vt:lpstr>Feuil3</vt:lpstr>
      <vt:lpstr>'04_28_01'!compte</vt:lpstr>
      <vt:lpstr>'04_28_01'!entité</vt:lpstr>
      <vt:lpstr>'04_28_01'!entreprises</vt:lpstr>
      <vt:lpstr>'04_28_01'!four</vt:lpstr>
      <vt:lpstr>'04_28_01'!fournisseurs</vt:lpstr>
      <vt:lpstr>'04_28_01'!noms</vt:lpstr>
      <vt:lpstr>'04_28_01'!Zone_d_impression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mgrosboi</dc:creator>
  <cp:lastModifiedBy>Anass KHNOUCHI</cp:lastModifiedBy>
  <cp:lastPrinted>2020-01-28T13:14:23Z</cp:lastPrinted>
  <dcterms:created xsi:type="dcterms:W3CDTF">2016-04-28T07:56:59Z</dcterms:created>
  <dcterms:modified xsi:type="dcterms:W3CDTF">2025-06-04T21:26:58Z</dcterms:modified>
</cp:coreProperties>
</file>