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Tharreau\Desktop\cours\BTS\2022\2eme année\hipodrome\"/>
    </mc:Choice>
  </mc:AlternateContent>
  <xr:revisionPtr revIDLastSave="0" documentId="8_{1596BE68-F38C-4CEC-901C-81C58B188F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le 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F27" i="1" s="1"/>
  <c r="F29" i="1" s="1"/>
  <c r="F20" i="1"/>
  <c r="I20" i="1" s="1"/>
  <c r="I22" i="1" s="1"/>
  <c r="E15" i="1"/>
  <c r="G15" i="1" s="1"/>
  <c r="G17" i="1" s="1"/>
  <c r="H15" i="1" l="1"/>
  <c r="H17" i="1" s="1"/>
  <c r="E27" i="1"/>
  <c r="E29" i="1" s="1"/>
  <c r="H20" i="1"/>
  <c r="H22" i="1" s="1"/>
</calcChain>
</file>

<file path=xl/sharedStrings.xml><?xml version="1.0" encoding="utf-8"?>
<sst xmlns="http://schemas.openxmlformats.org/spreadsheetml/2006/main" count="92" uniqueCount="63">
  <si>
    <t>valeur</t>
  </si>
  <si>
    <t>taille(bits)</t>
  </si>
  <si>
    <t>Nb de valeur possible</t>
  </si>
  <si>
    <t>min</t>
  </si>
  <si>
    <t>max</t>
  </si>
  <si>
    <t>frequence</t>
  </si>
  <si>
    <t>unité</t>
  </si>
  <si>
    <t>précision</t>
  </si>
  <si>
    <t>Déphasage</t>
  </si>
  <si>
    <t>Vitesse de comm max(bps)</t>
  </si>
  <si>
    <t>Vitesse de comm min(bps)</t>
  </si>
  <si>
    <t>Pluviomètrie</t>
  </si>
  <si>
    <t>reset horaire</t>
  </si>
  <si>
    <t>mm</t>
  </si>
  <si>
    <t>mm près</t>
  </si>
  <si>
    <t>Température sol</t>
  </si>
  <si>
    <t>horaire</t>
  </si>
  <si>
    <t>°</t>
  </si>
  <si>
    <t>° près</t>
  </si>
  <si>
    <t>Humidité du sol</t>
  </si>
  <si>
    <t>%</t>
  </si>
  <si>
    <t>% près</t>
  </si>
  <si>
    <t>Ensoleillement</t>
  </si>
  <si>
    <t>W/m²</t>
  </si>
  <si>
    <t>W/m² près</t>
  </si>
  <si>
    <t>Température</t>
  </si>
  <si>
    <t>°près</t>
  </si>
  <si>
    <t>Vitesse du vent</t>
  </si>
  <si>
    <t>km/h</t>
  </si>
  <si>
    <t>km/h près</t>
  </si>
  <si>
    <t>Direction du vent</t>
  </si>
  <si>
    <t>Pénétromètre</t>
  </si>
  <si>
    <t>Chaque mesure</t>
  </si>
  <si>
    <t>Géolocalisation</t>
  </si>
  <si>
    <t>Les valeurs du pénétromètre ont été multipliées par 10 afin d'envoyer des valeurs entières</t>
  </si>
  <si>
    <t>TRAME</t>
  </si>
  <si>
    <t>Pluviométrie(8bits)</t>
  </si>
  <si>
    <t>Humidité du sol(7bits)</t>
  </si>
  <si>
    <t>Température du sol(9bits)</t>
  </si>
  <si>
    <t>Total(bits)</t>
  </si>
  <si>
    <t>Total(oct)</t>
  </si>
  <si>
    <t>Temps de comm max(s)</t>
  </si>
  <si>
    <t>Temps de comm min(s)</t>
  </si>
  <si>
    <t>1111 1111</t>
  </si>
  <si>
    <t>111 1111</t>
  </si>
  <si>
    <t>1 1111 1111</t>
  </si>
  <si>
    <t>Temps d'attente max(s)</t>
  </si>
  <si>
    <t>Temps d'attente min(s)</t>
  </si>
  <si>
    <t>Ensoleillement(11bits)</t>
  </si>
  <si>
    <t>Température(7bits)</t>
  </si>
  <si>
    <t>Vitesse du vent(8bits)</t>
  </si>
  <si>
    <t>Direction du vent(3bits)</t>
  </si>
  <si>
    <t>101 1010 1010</t>
  </si>
  <si>
    <t>Pénétromètrie(8bits)</t>
  </si>
  <si>
    <t>ordre/inutile</t>
  </si>
  <si>
    <t>2 bits</t>
  </si>
  <si>
    <t>11 bits</t>
  </si>
  <si>
    <t>3 bits</t>
  </si>
  <si>
    <t>8 bits</t>
  </si>
  <si>
    <t>nécessaire</t>
  </si>
  <si>
    <t>réelle</t>
  </si>
  <si>
    <t>octet</t>
  </si>
  <si>
    <t>3+8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</si>
</sst>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mmm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1"/>
  <sheetViews>
    <sheetView tabSelected="1" zoomScale="115" zoomScaleNormal="115" workbookViewId="0">
      <selection activeCell="B24" sqref="B24"/>
    </sheetView>
  </sheetViews>
  <sheetFormatPr baseColWidth="10" defaultColWidth="12.5703125" defaultRowHeight="15.75" customHeight="1" x14ac:dyDescent="0.2"/>
  <cols>
    <col min="1" max="1" width="13.42578125" customWidth="1"/>
    <col min="2" max="2" width="17.28515625" customWidth="1"/>
    <col min="3" max="3" width="18.28515625" customWidth="1"/>
    <col min="4" max="5" width="19.85546875" customWidth="1"/>
    <col min="6" max="6" width="19.42578125" customWidth="1"/>
    <col min="7" max="8" width="19.85546875" customWidth="1"/>
    <col min="9" max="9" width="19.42578125" customWidth="1"/>
    <col min="10" max="10" width="21.140625" customWidth="1"/>
    <col min="11" max="12" width="20.710937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4" t="s">
        <v>11</v>
      </c>
      <c r="B2" s="3">
        <v>7</v>
      </c>
      <c r="C2" s="3">
        <v>101</v>
      </c>
      <c r="D2" s="3">
        <v>0</v>
      </c>
      <c r="E2" s="3">
        <v>100</v>
      </c>
      <c r="F2" s="3" t="s">
        <v>12</v>
      </c>
      <c r="G2" s="3" t="s">
        <v>13</v>
      </c>
      <c r="H2" s="3" t="s">
        <v>14</v>
      </c>
      <c r="I2" s="5"/>
      <c r="J2" s="3">
        <v>50000</v>
      </c>
      <c r="K2" s="3">
        <v>300</v>
      </c>
      <c r="S2" s="3"/>
      <c r="T2" s="3"/>
      <c r="U2" s="3"/>
      <c r="V2" s="3"/>
      <c r="W2" s="3"/>
      <c r="X2" s="3"/>
      <c r="Y2" s="3"/>
      <c r="Z2" s="3"/>
      <c r="AA2" s="3"/>
    </row>
    <row r="3" spans="1:27" x14ac:dyDescent="0.2">
      <c r="A3" s="4" t="s">
        <v>15</v>
      </c>
      <c r="B3" s="3">
        <v>9</v>
      </c>
      <c r="C3" s="3">
        <v>51</v>
      </c>
      <c r="D3" s="3">
        <v>-10</v>
      </c>
      <c r="E3" s="3">
        <v>40</v>
      </c>
      <c r="F3" s="3" t="s">
        <v>16</v>
      </c>
      <c r="G3" s="3" t="s">
        <v>17</v>
      </c>
      <c r="H3" s="3" t="s">
        <v>18</v>
      </c>
      <c r="I3" s="5">
        <v>-10</v>
      </c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4" t="s">
        <v>19</v>
      </c>
      <c r="B4" s="3">
        <v>7</v>
      </c>
      <c r="C4" s="3">
        <v>101</v>
      </c>
      <c r="D4" s="3">
        <v>0</v>
      </c>
      <c r="E4" s="3">
        <v>100</v>
      </c>
      <c r="F4" s="3" t="s">
        <v>16</v>
      </c>
      <c r="G4" s="3" t="s">
        <v>20</v>
      </c>
      <c r="H4" s="3" t="s">
        <v>21</v>
      </c>
      <c r="I4" s="5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">
      <c r="A5" s="6" t="s">
        <v>22</v>
      </c>
      <c r="B5" s="7">
        <v>11</v>
      </c>
      <c r="C5" s="7">
        <v>1000</v>
      </c>
      <c r="D5" s="7">
        <v>800</v>
      </c>
      <c r="E5" s="7">
        <v>1800</v>
      </c>
      <c r="F5" s="7" t="s">
        <v>16</v>
      </c>
      <c r="G5" s="7" t="s">
        <v>23</v>
      </c>
      <c r="H5" s="7" t="s">
        <v>24</v>
      </c>
      <c r="I5" s="8"/>
      <c r="J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">
      <c r="A6" s="4" t="s">
        <v>25</v>
      </c>
      <c r="B6" s="3">
        <v>7</v>
      </c>
      <c r="C6" s="3">
        <v>101</v>
      </c>
      <c r="D6" s="3">
        <v>-30</v>
      </c>
      <c r="E6" s="3">
        <v>70</v>
      </c>
      <c r="F6" s="3" t="s">
        <v>16</v>
      </c>
      <c r="G6" s="3" t="s">
        <v>17</v>
      </c>
      <c r="H6" s="3" t="s">
        <v>26</v>
      </c>
      <c r="I6" s="5">
        <v>-30</v>
      </c>
      <c r="S6" s="3"/>
      <c r="T6" s="3"/>
      <c r="U6" s="3"/>
      <c r="V6" s="3"/>
      <c r="W6" s="3"/>
      <c r="X6" s="3"/>
      <c r="Y6" s="3"/>
      <c r="Z6" s="3"/>
      <c r="AA6" s="3"/>
    </row>
    <row r="7" spans="1:27" x14ac:dyDescent="0.2">
      <c r="A7" s="4" t="s">
        <v>27</v>
      </c>
      <c r="B7" s="3">
        <v>8</v>
      </c>
      <c r="C7" s="3">
        <v>181</v>
      </c>
      <c r="D7" s="3">
        <v>0</v>
      </c>
      <c r="E7" s="3">
        <v>180</v>
      </c>
      <c r="F7" s="3" t="s">
        <v>16</v>
      </c>
      <c r="G7" s="3" t="s">
        <v>28</v>
      </c>
      <c r="H7" s="3" t="s">
        <v>29</v>
      </c>
      <c r="I7" s="5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">
      <c r="A8" s="9" t="s">
        <v>30</v>
      </c>
      <c r="B8" s="10">
        <v>3</v>
      </c>
      <c r="C8" s="10">
        <v>8</v>
      </c>
      <c r="D8" s="10">
        <v>0</v>
      </c>
      <c r="E8" s="10">
        <v>7</v>
      </c>
      <c r="F8" s="10" t="s">
        <v>16</v>
      </c>
      <c r="G8" s="10"/>
      <c r="H8" s="10"/>
      <c r="I8" s="11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">
      <c r="A9" s="4" t="s">
        <v>31</v>
      </c>
      <c r="B9" s="3">
        <v>8</v>
      </c>
      <c r="C9" s="3">
        <v>61</v>
      </c>
      <c r="D9" s="3">
        <v>0</v>
      </c>
      <c r="E9" s="3">
        <v>60</v>
      </c>
      <c r="F9" s="3" t="s">
        <v>32</v>
      </c>
      <c r="G9" s="3"/>
      <c r="H9" s="3" t="s">
        <v>6</v>
      </c>
      <c r="I9" s="5"/>
      <c r="J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">
      <c r="A10" s="9" t="s">
        <v>33</v>
      </c>
      <c r="B10" s="10">
        <v>16</v>
      </c>
      <c r="C10" s="10"/>
      <c r="D10" s="10"/>
      <c r="E10" s="10"/>
      <c r="F10" s="10"/>
      <c r="G10" s="10"/>
      <c r="H10" s="10"/>
      <c r="I10" s="11"/>
      <c r="J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">
      <c r="I11" s="3"/>
      <c r="J11" s="3"/>
      <c r="K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A12" s="21" t="s">
        <v>34</v>
      </c>
      <c r="B12" s="22"/>
      <c r="C12" s="22"/>
      <c r="D12" s="22"/>
      <c r="E12" s="22"/>
      <c r="F12" s="3"/>
      <c r="G12" s="3"/>
      <c r="H12" s="3"/>
      <c r="I12" s="3"/>
      <c r="J12" s="3"/>
      <c r="K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">
      <c r="A13" s="3"/>
      <c r="B13" s="3"/>
      <c r="C13" s="3"/>
      <c r="D13" s="3"/>
      <c r="E13" s="3"/>
      <c r="F13" s="3"/>
      <c r="H13" s="3"/>
      <c r="I13" s="3"/>
      <c r="J13" s="3"/>
      <c r="K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">
      <c r="A14" s="3" t="s">
        <v>35</v>
      </c>
      <c r="B14" s="13" t="s">
        <v>36</v>
      </c>
      <c r="C14" s="14" t="s">
        <v>37</v>
      </c>
      <c r="D14" s="14" t="s">
        <v>38</v>
      </c>
      <c r="E14" s="12" t="s">
        <v>39</v>
      </c>
      <c r="F14" s="12" t="s">
        <v>40</v>
      </c>
      <c r="G14" s="12" t="s">
        <v>41</v>
      </c>
      <c r="H14" s="12" t="s">
        <v>42</v>
      </c>
      <c r="I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">
      <c r="A15" s="3"/>
      <c r="B15" s="15" t="s">
        <v>43</v>
      </c>
      <c r="C15" s="16" t="s">
        <v>44</v>
      </c>
      <c r="D15" s="16" t="s">
        <v>45</v>
      </c>
      <c r="E15" s="3">
        <f>B2+B3+B4</f>
        <v>23</v>
      </c>
      <c r="F15" s="3">
        <v>3</v>
      </c>
      <c r="G15" s="3">
        <f>E15/K2</f>
        <v>7.6666666666666661E-2</v>
      </c>
      <c r="H15" s="3">
        <f>E15/J2</f>
        <v>4.6000000000000001E-4</v>
      </c>
      <c r="I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">
      <c r="A16" s="3"/>
      <c r="B16" s="3"/>
      <c r="C16" s="3"/>
      <c r="D16" s="3"/>
      <c r="E16" s="3"/>
      <c r="F16" s="3"/>
      <c r="G16" s="12" t="s">
        <v>46</v>
      </c>
      <c r="H16" s="12" t="s">
        <v>47</v>
      </c>
      <c r="I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">
      <c r="A17" s="3" t="s">
        <v>35</v>
      </c>
      <c r="G17" s="3">
        <f>G15*99</f>
        <v>7.59</v>
      </c>
      <c r="H17" s="3">
        <f>H15*99</f>
        <v>4.5540000000000004E-2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">
      <c r="A18" s="3"/>
      <c r="B18" s="20" t="s">
        <v>59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">
      <c r="A19" s="3" t="s">
        <v>35</v>
      </c>
      <c r="B19" s="14" t="s">
        <v>48</v>
      </c>
      <c r="C19" s="14" t="s">
        <v>49</v>
      </c>
      <c r="D19" s="14" t="s">
        <v>50</v>
      </c>
      <c r="E19" s="17" t="s">
        <v>51</v>
      </c>
      <c r="F19" s="12" t="s">
        <v>39</v>
      </c>
      <c r="G19" s="12" t="s">
        <v>40</v>
      </c>
      <c r="H19" s="12" t="s">
        <v>41</v>
      </c>
      <c r="I19" s="12" t="s">
        <v>42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">
      <c r="A20" s="3"/>
      <c r="B20" s="16" t="s">
        <v>52</v>
      </c>
      <c r="C20" s="16" t="s">
        <v>44</v>
      </c>
      <c r="D20" s="16" t="s">
        <v>43</v>
      </c>
      <c r="E20" s="16">
        <v>111</v>
      </c>
      <c r="F20" s="3">
        <f>B5+B6+B7+B8</f>
        <v>29</v>
      </c>
      <c r="G20" s="3">
        <v>4</v>
      </c>
      <c r="H20" s="3">
        <f>F20/K2</f>
        <v>9.6666666666666665E-2</v>
      </c>
      <c r="I20" s="3">
        <f>F20/J2</f>
        <v>5.8E-4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2">
      <c r="A21" s="18"/>
      <c r="B21" s="3" t="s">
        <v>60</v>
      </c>
      <c r="C21" s="3"/>
      <c r="D21" s="3"/>
      <c r="E21" s="3"/>
      <c r="F21" s="3"/>
      <c r="G21" s="3"/>
      <c r="H21" s="12" t="s">
        <v>46</v>
      </c>
      <c r="I21" s="12" t="s">
        <v>47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2">
      <c r="A22" s="3"/>
      <c r="B22" s="14" t="s">
        <v>54</v>
      </c>
      <c r="C22" s="17" t="s">
        <v>51</v>
      </c>
      <c r="D22" s="14" t="s">
        <v>48</v>
      </c>
      <c r="E22" s="14" t="s">
        <v>49</v>
      </c>
      <c r="F22" s="14" t="s">
        <v>50</v>
      </c>
      <c r="G22" s="3"/>
      <c r="H22" s="3">
        <f>H20*99</f>
        <v>9.57</v>
      </c>
      <c r="I22" s="3">
        <f>I20*99</f>
        <v>5.7419999999999999E-2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2">
      <c r="A23" s="3"/>
      <c r="B23" s="16" t="s">
        <v>55</v>
      </c>
      <c r="C23" s="16" t="s">
        <v>57</v>
      </c>
      <c r="D23" s="16" t="s">
        <v>56</v>
      </c>
      <c r="E23" s="16" t="s">
        <v>58</v>
      </c>
      <c r="F23" s="16" t="s">
        <v>58</v>
      </c>
      <c r="G23" s="3">
        <v>32</v>
      </c>
      <c r="H23" s="3"/>
      <c r="I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2">
      <c r="A24" s="3"/>
      <c r="B24" s="3">
        <v>2</v>
      </c>
      <c r="C24" s="3">
        <v>3</v>
      </c>
      <c r="D24" s="3" t="s">
        <v>62</v>
      </c>
      <c r="E24" s="3"/>
      <c r="F24" s="3"/>
      <c r="G24" s="3"/>
      <c r="H24" s="3"/>
      <c r="I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">
      <c r="A25" s="3" t="s">
        <v>61</v>
      </c>
      <c r="B25">
        <v>0</v>
      </c>
      <c r="C25" s="20">
        <v>0</v>
      </c>
      <c r="D25">
        <v>1</v>
      </c>
      <c r="E25">
        <v>2</v>
      </c>
      <c r="F25">
        <v>3</v>
      </c>
      <c r="G25" s="3"/>
      <c r="H25" s="3"/>
      <c r="I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">
      <c r="A26" s="3"/>
      <c r="B26" s="14" t="s">
        <v>53</v>
      </c>
      <c r="C26" s="12" t="s">
        <v>39</v>
      </c>
      <c r="D26" s="12" t="s">
        <v>40</v>
      </c>
      <c r="E26" s="12" t="s">
        <v>41</v>
      </c>
      <c r="F26" s="12" t="s">
        <v>42</v>
      </c>
      <c r="G26" s="3"/>
      <c r="H26" s="3"/>
      <c r="I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">
      <c r="A27" s="3"/>
      <c r="B27" s="16" t="s">
        <v>43</v>
      </c>
      <c r="C27" s="3">
        <f>B9</f>
        <v>8</v>
      </c>
      <c r="D27" s="3">
        <v>1</v>
      </c>
      <c r="E27" s="3">
        <f>C27/K2</f>
        <v>2.6666666666666668E-2</v>
      </c>
      <c r="F27" s="3">
        <f>C27/J2</f>
        <v>1.6000000000000001E-4</v>
      </c>
      <c r="G27" s="3"/>
      <c r="H27" s="17"/>
      <c r="I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">
      <c r="A28" s="3"/>
      <c r="B28" s="3"/>
      <c r="C28" s="3"/>
      <c r="D28" s="3"/>
      <c r="E28" s="12" t="s">
        <v>46</v>
      </c>
      <c r="F28" s="12" t="s">
        <v>47</v>
      </c>
      <c r="G28" s="3"/>
      <c r="H28" s="16"/>
      <c r="I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">
      <c r="A29" s="3"/>
      <c r="B29" s="3"/>
      <c r="C29" s="3"/>
      <c r="D29" s="18"/>
      <c r="E29" s="3">
        <f>E27*99</f>
        <v>2.64</v>
      </c>
      <c r="F29" s="3">
        <f>F27*99</f>
        <v>1.584E-2</v>
      </c>
      <c r="G29" s="3"/>
      <c r="H29" s="3"/>
      <c r="I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">
      <c r="A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">
      <c r="A34" s="3"/>
      <c r="B34" s="3"/>
      <c r="C34" s="3"/>
      <c r="D34" s="3"/>
      <c r="E34" s="3"/>
      <c r="F34" s="3"/>
      <c r="G34" s="18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">
      <c r="A38" s="3"/>
      <c r="B38" s="3"/>
      <c r="C38" s="3"/>
      <c r="D38" s="3"/>
      <c r="E38" s="3"/>
      <c r="F38" s="3"/>
      <c r="G38" s="18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"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"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"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">
      <c r="A42" s="3"/>
      <c r="B42" s="3"/>
      <c r="C42" s="3"/>
      <c r="D42" s="3"/>
      <c r="E42" s="3"/>
      <c r="F42" s="3"/>
      <c r="G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">
      <c r="A43" s="3"/>
      <c r="B43" s="3"/>
      <c r="C43" s="3"/>
      <c r="D43" s="3"/>
      <c r="E43" s="3"/>
      <c r="F43" s="3"/>
      <c r="G43" s="18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"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"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"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"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"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">
      <c r="B51" s="3"/>
      <c r="C51" s="3"/>
      <c r="D51" s="3"/>
      <c r="E51" s="3"/>
      <c r="F51" s="18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">
      <c r="A54" s="3"/>
      <c r="B54" s="3"/>
      <c r="C54" s="19"/>
      <c r="D54" s="18"/>
      <c r="E54" s="18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</sheetData>
  <mergeCells count="1"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Tharreau</dc:creator>
  <cp:lastModifiedBy>Tharreau</cp:lastModifiedBy>
  <dcterms:created xsi:type="dcterms:W3CDTF">2023-04-11T13:24:21Z</dcterms:created>
  <dcterms:modified xsi:type="dcterms:W3CDTF">2023-04-11T13:24:21Z</dcterms:modified>
</cp:coreProperties>
</file>